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updateLinks="always"/>
  <mc:AlternateContent xmlns:mc="http://schemas.openxmlformats.org/markup-compatibility/2006">
    <mc:Choice Requires="x15">
      <x15ac:absPath xmlns:x15ac="http://schemas.microsoft.com/office/spreadsheetml/2010/11/ac" url="https://doimspp.sharepoint.com/sites/bor-lincoln-wswc-interop-water-data-hub/Shared Documents/General/Visualization Tool/Reservoir List Review/"/>
    </mc:Choice>
  </mc:AlternateContent>
  <xr:revisionPtr revIDLastSave="0" documentId="8_{0161DC8C-238B-40AD-A885-6B83B579F98C}" xr6:coauthVersionLast="47" xr6:coauthVersionMax="47" xr10:uidLastSave="{00000000-0000-0000-0000-000000000000}"/>
  <bookViews>
    <workbookView xWindow="0" yWindow="500" windowWidth="21600" windowHeight="37020" xr2:uid="{B3F2E8FE-656D-4782-A126-5DEAE55F693B}"/>
  </bookViews>
  <sheets>
    <sheet name="Reservoir List to IoW" sheetId="1" r:id="rId1"/>
    <sheet name="Sheet1" sheetId="3" r:id="rId2"/>
    <sheet name="Data Validation"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1" l="1"/>
  <c r="H11" i="1" s="1"/>
  <c r="Q497" i="1"/>
  <c r="H497" i="1" s="1"/>
  <c r="W497" i="1"/>
  <c r="X497" i="1"/>
  <c r="Y497" i="1"/>
  <c r="Q498" i="1"/>
  <c r="H498" i="1" s="1"/>
  <c r="W498" i="1"/>
  <c r="X498" i="1"/>
  <c r="Y498" i="1"/>
  <c r="Q499" i="1"/>
  <c r="H499" i="1" s="1"/>
  <c r="W499" i="1"/>
  <c r="X499" i="1"/>
  <c r="Y499" i="1"/>
  <c r="Q500" i="1"/>
  <c r="H500" i="1" s="1"/>
  <c r="W500" i="1"/>
  <c r="X500" i="1"/>
  <c r="Y500" i="1"/>
  <c r="Q501" i="1"/>
  <c r="H501" i="1" s="1"/>
  <c r="W501" i="1"/>
  <c r="X501" i="1"/>
  <c r="Y501" i="1"/>
  <c r="Q502" i="1"/>
  <c r="H502" i="1" s="1"/>
  <c r="W502" i="1"/>
  <c r="X502" i="1"/>
  <c r="Y502" i="1"/>
  <c r="Q503" i="1"/>
  <c r="H503" i="1" s="1"/>
  <c r="W503" i="1"/>
  <c r="X503" i="1"/>
  <c r="Y503" i="1"/>
  <c r="Q504" i="1"/>
  <c r="H504" i="1" s="1"/>
  <c r="W504" i="1"/>
  <c r="X504" i="1"/>
  <c r="Y504" i="1"/>
  <c r="Q494" i="1"/>
  <c r="H494" i="1" s="1"/>
  <c r="W494" i="1"/>
  <c r="X494" i="1"/>
  <c r="Y494" i="1"/>
  <c r="Q488" i="1"/>
  <c r="H488" i="1" s="1"/>
  <c r="W488" i="1"/>
  <c r="X488" i="1"/>
  <c r="Y488" i="1"/>
  <c r="Q489" i="1"/>
  <c r="H489" i="1" s="1"/>
  <c r="W489" i="1"/>
  <c r="X489" i="1"/>
  <c r="Y489" i="1"/>
  <c r="Q490" i="1"/>
  <c r="H490" i="1" s="1"/>
  <c r="W490" i="1"/>
  <c r="X490" i="1"/>
  <c r="Y490" i="1"/>
  <c r="Q464" i="1"/>
  <c r="H464" i="1" s="1"/>
  <c r="W464" i="1"/>
  <c r="X464" i="1"/>
  <c r="Y464" i="1"/>
  <c r="Q465" i="1"/>
  <c r="H465" i="1" s="1"/>
  <c r="W465" i="1"/>
  <c r="X465" i="1"/>
  <c r="Y465" i="1"/>
  <c r="Q466" i="1"/>
  <c r="H466" i="1" s="1"/>
  <c r="W466" i="1"/>
  <c r="X466" i="1"/>
  <c r="Y466" i="1"/>
  <c r="Q467" i="1"/>
  <c r="H467" i="1" s="1"/>
  <c r="W467" i="1"/>
  <c r="X467" i="1"/>
  <c r="Y467" i="1"/>
  <c r="Q468" i="1"/>
  <c r="H468" i="1" s="1"/>
  <c r="W468" i="1"/>
  <c r="X468" i="1"/>
  <c r="Y468" i="1"/>
  <c r="Q469" i="1"/>
  <c r="H469" i="1" s="1"/>
  <c r="W469" i="1"/>
  <c r="X469" i="1"/>
  <c r="Y469" i="1"/>
  <c r="Q470" i="1"/>
  <c r="H470" i="1" s="1"/>
  <c r="W470" i="1"/>
  <c r="X470" i="1"/>
  <c r="Y470" i="1"/>
  <c r="Q471" i="1"/>
  <c r="H471" i="1" s="1"/>
  <c r="W471" i="1"/>
  <c r="X471" i="1"/>
  <c r="Y471" i="1"/>
  <c r="Q472" i="1"/>
  <c r="H472" i="1" s="1"/>
  <c r="W472" i="1"/>
  <c r="X472" i="1"/>
  <c r="Y472" i="1"/>
  <c r="Q473" i="1"/>
  <c r="H473" i="1" s="1"/>
  <c r="W473" i="1"/>
  <c r="X473" i="1"/>
  <c r="Y473" i="1"/>
  <c r="Q474" i="1"/>
  <c r="H474" i="1" s="1"/>
  <c r="W474" i="1"/>
  <c r="X474" i="1"/>
  <c r="Y474" i="1"/>
  <c r="Q475" i="1"/>
  <c r="H475" i="1" s="1"/>
  <c r="W475" i="1"/>
  <c r="X475" i="1"/>
  <c r="Y475" i="1"/>
  <c r="Q476" i="1"/>
  <c r="H476" i="1" s="1"/>
  <c r="W476" i="1"/>
  <c r="X476" i="1"/>
  <c r="Y476" i="1"/>
  <c r="Q477" i="1"/>
  <c r="H477" i="1" s="1"/>
  <c r="W477" i="1"/>
  <c r="X477" i="1"/>
  <c r="Y477" i="1"/>
  <c r="Q478" i="1"/>
  <c r="H478" i="1" s="1"/>
  <c r="W478" i="1"/>
  <c r="X478" i="1"/>
  <c r="Y478" i="1"/>
  <c r="Q479" i="1"/>
  <c r="H479" i="1" s="1"/>
  <c r="W479" i="1"/>
  <c r="X479" i="1"/>
  <c r="Y479" i="1"/>
  <c r="Q480" i="1"/>
  <c r="H480" i="1" s="1"/>
  <c r="W480" i="1"/>
  <c r="X480" i="1"/>
  <c r="Y480" i="1"/>
  <c r="Q481" i="1"/>
  <c r="H481" i="1" s="1"/>
  <c r="W481" i="1"/>
  <c r="X481" i="1"/>
  <c r="Y481" i="1"/>
  <c r="Q482" i="1"/>
  <c r="H482" i="1" s="1"/>
  <c r="W482" i="1"/>
  <c r="X482" i="1"/>
  <c r="Y482" i="1"/>
  <c r="Q483" i="1"/>
  <c r="H483" i="1" s="1"/>
  <c r="W483" i="1"/>
  <c r="X483" i="1"/>
  <c r="Y483" i="1"/>
  <c r="Q484" i="1"/>
  <c r="H484" i="1" s="1"/>
  <c r="W484" i="1"/>
  <c r="X484" i="1"/>
  <c r="Y484" i="1"/>
  <c r="Q485" i="1"/>
  <c r="H485" i="1" s="1"/>
  <c r="W485" i="1"/>
  <c r="X485" i="1"/>
  <c r="Y485" i="1"/>
  <c r="Q486" i="1"/>
  <c r="H486" i="1" s="1"/>
  <c r="W486" i="1"/>
  <c r="X486" i="1"/>
  <c r="Y486" i="1"/>
  <c r="Q461" i="1"/>
  <c r="H461" i="1" s="1"/>
  <c r="W461" i="1"/>
  <c r="X461" i="1"/>
  <c r="Y461" i="1"/>
  <c r="Q462" i="1"/>
  <c r="H462" i="1" s="1"/>
  <c r="W462" i="1"/>
  <c r="X462" i="1"/>
  <c r="Y462" i="1"/>
  <c r="Q458" i="1"/>
  <c r="H458" i="1" s="1"/>
  <c r="W458" i="1"/>
  <c r="X458" i="1"/>
  <c r="Y458" i="1"/>
  <c r="Q459" i="1"/>
  <c r="H459" i="1" s="1"/>
  <c r="W459" i="1"/>
  <c r="X459" i="1"/>
  <c r="Y459" i="1"/>
  <c r="Q456" i="1"/>
  <c r="H456" i="1" s="1"/>
  <c r="W456" i="1"/>
  <c r="X456" i="1"/>
  <c r="Y456" i="1"/>
  <c r="Q452" i="1"/>
  <c r="H452" i="1" s="1"/>
  <c r="W452" i="1"/>
  <c r="X452" i="1"/>
  <c r="Y452" i="1"/>
  <c r="Q453" i="1"/>
  <c r="H453" i="1" s="1"/>
  <c r="W453" i="1"/>
  <c r="X453" i="1"/>
  <c r="Y453" i="1"/>
  <c r="Q450" i="1"/>
  <c r="H450" i="1" s="1"/>
  <c r="W450" i="1"/>
  <c r="X450" i="1"/>
  <c r="Y450" i="1"/>
  <c r="Q447" i="1"/>
  <c r="H447" i="1" s="1"/>
  <c r="W447" i="1"/>
  <c r="X447" i="1"/>
  <c r="Y447" i="1"/>
  <c r="Q445" i="1"/>
  <c r="H445" i="1" s="1"/>
  <c r="W445" i="1"/>
  <c r="X445" i="1"/>
  <c r="Y445" i="1"/>
  <c r="Q443" i="1"/>
  <c r="H443" i="1" s="1"/>
  <c r="W443" i="1"/>
  <c r="X443" i="1"/>
  <c r="Y443" i="1"/>
  <c r="Q439" i="1"/>
  <c r="H439" i="1" s="1"/>
  <c r="W439" i="1"/>
  <c r="X439" i="1"/>
  <c r="Y439" i="1"/>
  <c r="Q435" i="1"/>
  <c r="H435" i="1" s="1"/>
  <c r="W435" i="1"/>
  <c r="X435" i="1"/>
  <c r="Y435" i="1"/>
  <c r="Q431" i="1"/>
  <c r="H431" i="1" s="1"/>
  <c r="W431" i="1"/>
  <c r="X431" i="1"/>
  <c r="Y431" i="1"/>
  <c r="Q432" i="1"/>
  <c r="H432" i="1" s="1"/>
  <c r="W432" i="1"/>
  <c r="X432" i="1"/>
  <c r="Y432" i="1"/>
  <c r="Q433" i="1"/>
  <c r="H433" i="1" s="1"/>
  <c r="W433" i="1"/>
  <c r="X433" i="1"/>
  <c r="Y433" i="1"/>
  <c r="Q429" i="1"/>
  <c r="H429" i="1" s="1"/>
  <c r="W429" i="1"/>
  <c r="X429" i="1"/>
  <c r="Y429" i="1"/>
  <c r="Q425" i="1"/>
  <c r="H425" i="1" s="1"/>
  <c r="W425" i="1"/>
  <c r="X425" i="1"/>
  <c r="Y425" i="1"/>
  <c r="Q426" i="1"/>
  <c r="H426" i="1" s="1"/>
  <c r="W426" i="1"/>
  <c r="X426" i="1"/>
  <c r="Y426" i="1"/>
  <c r="Q427" i="1"/>
  <c r="H427" i="1" s="1"/>
  <c r="W427" i="1"/>
  <c r="X427" i="1"/>
  <c r="Y427" i="1"/>
  <c r="Q421" i="1"/>
  <c r="H421" i="1" s="1"/>
  <c r="W421" i="1"/>
  <c r="X421" i="1"/>
  <c r="Y421" i="1"/>
  <c r="Q422" i="1"/>
  <c r="H422" i="1" s="1"/>
  <c r="W422" i="1"/>
  <c r="X422" i="1"/>
  <c r="Y422" i="1"/>
  <c r="Q419" i="1"/>
  <c r="H419" i="1" s="1"/>
  <c r="W419" i="1"/>
  <c r="X419" i="1"/>
  <c r="Y419" i="1"/>
  <c r="Q415" i="1"/>
  <c r="H415" i="1" s="1"/>
  <c r="W415" i="1"/>
  <c r="X415" i="1"/>
  <c r="Y415" i="1"/>
  <c r="Q416" i="1"/>
  <c r="H416" i="1" s="1"/>
  <c r="W416" i="1"/>
  <c r="X416" i="1"/>
  <c r="Y416" i="1"/>
  <c r="Q397" i="1"/>
  <c r="H397" i="1" s="1"/>
  <c r="W397" i="1"/>
  <c r="X397" i="1"/>
  <c r="Y397" i="1"/>
  <c r="Q398" i="1"/>
  <c r="H398" i="1" s="1"/>
  <c r="W398" i="1"/>
  <c r="X398" i="1"/>
  <c r="Y398" i="1"/>
  <c r="Q399" i="1"/>
  <c r="H399" i="1" s="1"/>
  <c r="W399" i="1"/>
  <c r="X399" i="1"/>
  <c r="Y399" i="1"/>
  <c r="Q400" i="1"/>
  <c r="H400" i="1" s="1"/>
  <c r="W400" i="1"/>
  <c r="X400" i="1"/>
  <c r="Y400" i="1"/>
  <c r="Q401" i="1"/>
  <c r="H401" i="1" s="1"/>
  <c r="W401" i="1"/>
  <c r="X401" i="1"/>
  <c r="Y401" i="1"/>
  <c r="Q402" i="1"/>
  <c r="H402" i="1" s="1"/>
  <c r="W402" i="1"/>
  <c r="X402" i="1"/>
  <c r="Y402" i="1"/>
  <c r="Q403" i="1"/>
  <c r="H403" i="1" s="1"/>
  <c r="W403" i="1"/>
  <c r="X403" i="1"/>
  <c r="Y403" i="1"/>
  <c r="Q404" i="1"/>
  <c r="H404" i="1" s="1"/>
  <c r="W404" i="1"/>
  <c r="X404" i="1"/>
  <c r="Y404" i="1"/>
  <c r="Q405" i="1"/>
  <c r="H405" i="1" s="1"/>
  <c r="W405" i="1"/>
  <c r="X405" i="1"/>
  <c r="Y405" i="1"/>
  <c r="Q406" i="1"/>
  <c r="H406" i="1" s="1"/>
  <c r="W406" i="1"/>
  <c r="X406" i="1"/>
  <c r="Y406" i="1"/>
  <c r="Q407" i="1"/>
  <c r="H407" i="1" s="1"/>
  <c r="W407" i="1"/>
  <c r="X407" i="1"/>
  <c r="Y407" i="1"/>
  <c r="Q408" i="1"/>
  <c r="H408" i="1" s="1"/>
  <c r="W408" i="1"/>
  <c r="X408" i="1"/>
  <c r="Y408" i="1"/>
  <c r="Q409" i="1"/>
  <c r="H409" i="1" s="1"/>
  <c r="W409" i="1"/>
  <c r="X409" i="1"/>
  <c r="Y409" i="1"/>
  <c r="Q391" i="1"/>
  <c r="H391" i="1" s="1"/>
  <c r="W391" i="1"/>
  <c r="X391" i="1"/>
  <c r="Y391" i="1"/>
  <c r="Q392" i="1"/>
  <c r="H392" i="1" s="1"/>
  <c r="W392" i="1"/>
  <c r="X392" i="1"/>
  <c r="Y392" i="1"/>
  <c r="Q393" i="1"/>
  <c r="H393" i="1" s="1"/>
  <c r="W393" i="1"/>
  <c r="X393" i="1"/>
  <c r="Y393" i="1"/>
  <c r="Q394" i="1"/>
  <c r="H394" i="1" s="1"/>
  <c r="W394" i="1"/>
  <c r="X394" i="1"/>
  <c r="Y394" i="1"/>
  <c r="Q395" i="1"/>
  <c r="H395" i="1" s="1"/>
  <c r="W395" i="1"/>
  <c r="X395" i="1"/>
  <c r="Y395" i="1"/>
  <c r="Q388" i="1"/>
  <c r="H388" i="1" s="1"/>
  <c r="W388" i="1"/>
  <c r="X388" i="1"/>
  <c r="Y388" i="1"/>
  <c r="Q389" i="1"/>
  <c r="H389" i="1" s="1"/>
  <c r="W389" i="1"/>
  <c r="X389" i="1"/>
  <c r="Y389" i="1"/>
  <c r="Q386" i="1"/>
  <c r="H386" i="1" s="1"/>
  <c r="W386" i="1"/>
  <c r="X386" i="1"/>
  <c r="Y386" i="1"/>
  <c r="Q382" i="1"/>
  <c r="H382" i="1" s="1"/>
  <c r="W382" i="1"/>
  <c r="X382" i="1"/>
  <c r="Y382" i="1"/>
  <c r="Q380" i="1"/>
  <c r="H380" i="1" s="1"/>
  <c r="W380" i="1"/>
  <c r="X380" i="1"/>
  <c r="Y380" i="1"/>
  <c r="Q377" i="1"/>
  <c r="H377" i="1" s="1"/>
  <c r="W377" i="1"/>
  <c r="X377" i="1"/>
  <c r="Y377" i="1"/>
  <c r="Q364" i="1"/>
  <c r="H364" i="1" s="1"/>
  <c r="W364" i="1"/>
  <c r="X364" i="1"/>
  <c r="Y364" i="1"/>
  <c r="Q365" i="1"/>
  <c r="H365" i="1" s="1"/>
  <c r="W365" i="1"/>
  <c r="X365" i="1"/>
  <c r="Y365" i="1"/>
  <c r="Q366" i="1"/>
  <c r="H366" i="1" s="1"/>
  <c r="W366" i="1"/>
  <c r="X366" i="1"/>
  <c r="Y366" i="1"/>
  <c r="Q367" i="1"/>
  <c r="H367" i="1" s="1"/>
  <c r="W367" i="1"/>
  <c r="X367" i="1"/>
  <c r="Y367" i="1"/>
  <c r="Q368" i="1"/>
  <c r="H368" i="1" s="1"/>
  <c r="W368" i="1"/>
  <c r="X368" i="1"/>
  <c r="Y368" i="1"/>
  <c r="Q369" i="1"/>
  <c r="H369" i="1" s="1"/>
  <c r="W369" i="1"/>
  <c r="X369" i="1"/>
  <c r="Y369" i="1"/>
  <c r="Q370" i="1"/>
  <c r="H370" i="1" s="1"/>
  <c r="W370" i="1"/>
  <c r="X370" i="1"/>
  <c r="Y370" i="1"/>
  <c r="Q371" i="1"/>
  <c r="H371" i="1" s="1"/>
  <c r="W371" i="1"/>
  <c r="X371" i="1"/>
  <c r="Y371" i="1"/>
  <c r="Q372" i="1"/>
  <c r="H372" i="1" s="1"/>
  <c r="W372" i="1"/>
  <c r="X372" i="1"/>
  <c r="Y372" i="1"/>
  <c r="Q373" i="1"/>
  <c r="H373" i="1" s="1"/>
  <c r="W373" i="1"/>
  <c r="X373" i="1"/>
  <c r="Y373" i="1"/>
  <c r="Q374" i="1"/>
  <c r="H374" i="1" s="1"/>
  <c r="W374" i="1"/>
  <c r="X374" i="1"/>
  <c r="Y374" i="1"/>
  <c r="Q375" i="1"/>
  <c r="H375" i="1" s="1"/>
  <c r="W375" i="1"/>
  <c r="X375" i="1"/>
  <c r="Y375" i="1"/>
  <c r="Q361" i="1"/>
  <c r="H361" i="1" s="1"/>
  <c r="W361" i="1"/>
  <c r="X361" i="1"/>
  <c r="Y361" i="1"/>
  <c r="Q362" i="1"/>
  <c r="H362" i="1" s="1"/>
  <c r="W362" i="1"/>
  <c r="X362" i="1"/>
  <c r="Y362" i="1"/>
  <c r="Q359" i="1"/>
  <c r="H359" i="1" s="1"/>
  <c r="W359" i="1"/>
  <c r="X359" i="1"/>
  <c r="Y359" i="1"/>
  <c r="Q354" i="1"/>
  <c r="H354" i="1" s="1"/>
  <c r="W354" i="1"/>
  <c r="X354" i="1"/>
  <c r="Y354" i="1"/>
  <c r="Q349" i="1"/>
  <c r="H349" i="1" s="1"/>
  <c r="W349" i="1"/>
  <c r="X349" i="1"/>
  <c r="Y349" i="1"/>
  <c r="Q350" i="1"/>
  <c r="H350" i="1" s="1"/>
  <c r="W350" i="1"/>
  <c r="X350" i="1"/>
  <c r="Y350" i="1"/>
  <c r="Q351" i="1"/>
  <c r="H351" i="1" s="1"/>
  <c r="W351" i="1"/>
  <c r="X351" i="1"/>
  <c r="Y351" i="1"/>
  <c r="Q352" i="1"/>
  <c r="H352" i="1" s="1"/>
  <c r="W352" i="1"/>
  <c r="X352" i="1"/>
  <c r="Y352" i="1"/>
  <c r="Q347" i="1"/>
  <c r="H347" i="1" s="1"/>
  <c r="W347" i="1"/>
  <c r="X347" i="1"/>
  <c r="Y347" i="1"/>
  <c r="Q344" i="1"/>
  <c r="H344" i="1" s="1"/>
  <c r="W344" i="1"/>
  <c r="X344" i="1"/>
  <c r="Y344" i="1"/>
  <c r="Q339" i="1"/>
  <c r="H339" i="1" s="1"/>
  <c r="W339" i="1"/>
  <c r="X339" i="1"/>
  <c r="Y339" i="1"/>
  <c r="Q340" i="1"/>
  <c r="H340" i="1" s="1"/>
  <c r="W340" i="1"/>
  <c r="X340" i="1"/>
  <c r="Y340" i="1"/>
  <c r="Q341" i="1"/>
  <c r="H341" i="1" s="1"/>
  <c r="W341" i="1"/>
  <c r="X341" i="1"/>
  <c r="Y341" i="1"/>
  <c r="Q330" i="1"/>
  <c r="H330" i="1" s="1"/>
  <c r="W330" i="1"/>
  <c r="X330" i="1"/>
  <c r="Y330" i="1"/>
  <c r="Q331" i="1"/>
  <c r="H331" i="1" s="1"/>
  <c r="W331" i="1"/>
  <c r="X331" i="1"/>
  <c r="Y331" i="1"/>
  <c r="Q332" i="1"/>
  <c r="H332" i="1" s="1"/>
  <c r="W332" i="1"/>
  <c r="X332" i="1"/>
  <c r="Y332" i="1"/>
  <c r="Q333" i="1"/>
  <c r="H333" i="1" s="1"/>
  <c r="W333" i="1"/>
  <c r="X333" i="1"/>
  <c r="Y333" i="1"/>
  <c r="Q327" i="1"/>
  <c r="H327" i="1" s="1"/>
  <c r="W327" i="1"/>
  <c r="X327" i="1"/>
  <c r="Y327" i="1"/>
  <c r="Q328" i="1"/>
  <c r="H328" i="1" s="1"/>
  <c r="W328" i="1"/>
  <c r="X328" i="1"/>
  <c r="Y328" i="1"/>
  <c r="Q308" i="1"/>
  <c r="H308" i="1" s="1"/>
  <c r="W308" i="1"/>
  <c r="X308" i="1"/>
  <c r="Y308" i="1"/>
  <c r="Q309" i="1"/>
  <c r="H309" i="1" s="1"/>
  <c r="W309" i="1"/>
  <c r="X309" i="1"/>
  <c r="Y309" i="1"/>
  <c r="Q310" i="1"/>
  <c r="H310" i="1" s="1"/>
  <c r="W310" i="1"/>
  <c r="X310" i="1"/>
  <c r="Y310" i="1"/>
  <c r="Q311" i="1"/>
  <c r="H311" i="1" s="1"/>
  <c r="W311" i="1"/>
  <c r="X311" i="1"/>
  <c r="Y311" i="1"/>
  <c r="Q312" i="1"/>
  <c r="H312" i="1" s="1"/>
  <c r="W312" i="1"/>
  <c r="X312" i="1"/>
  <c r="Y312" i="1"/>
  <c r="Q313" i="1"/>
  <c r="H313" i="1" s="1"/>
  <c r="W313" i="1"/>
  <c r="X313" i="1"/>
  <c r="Y313" i="1"/>
  <c r="Q314" i="1"/>
  <c r="H314" i="1" s="1"/>
  <c r="W314" i="1"/>
  <c r="X314" i="1"/>
  <c r="Y314" i="1"/>
  <c r="Q315" i="1"/>
  <c r="H315" i="1" s="1"/>
  <c r="W315" i="1"/>
  <c r="X315" i="1"/>
  <c r="Y315" i="1"/>
  <c r="Q316" i="1"/>
  <c r="H316" i="1" s="1"/>
  <c r="W316" i="1"/>
  <c r="X316" i="1"/>
  <c r="Y316" i="1"/>
  <c r="Q317" i="1"/>
  <c r="H317" i="1" s="1"/>
  <c r="W317" i="1"/>
  <c r="X317" i="1"/>
  <c r="Y317" i="1"/>
  <c r="Q318" i="1"/>
  <c r="H318" i="1" s="1"/>
  <c r="W318" i="1"/>
  <c r="X318" i="1"/>
  <c r="Y318" i="1"/>
  <c r="Q319" i="1"/>
  <c r="H319" i="1" s="1"/>
  <c r="W319" i="1"/>
  <c r="X319" i="1"/>
  <c r="Y319" i="1"/>
  <c r="Q320" i="1"/>
  <c r="H320" i="1" s="1"/>
  <c r="W320" i="1"/>
  <c r="X320" i="1"/>
  <c r="Y320" i="1"/>
  <c r="Q321" i="1"/>
  <c r="H321" i="1" s="1"/>
  <c r="W321" i="1"/>
  <c r="X321" i="1"/>
  <c r="Y321" i="1"/>
  <c r="Q322" i="1"/>
  <c r="H322" i="1" s="1"/>
  <c r="W322" i="1"/>
  <c r="X322" i="1"/>
  <c r="Y322" i="1"/>
  <c r="Q300" i="1"/>
  <c r="H300" i="1" s="1"/>
  <c r="W300" i="1"/>
  <c r="X300" i="1"/>
  <c r="Y300" i="1"/>
  <c r="Q301" i="1"/>
  <c r="H301" i="1" s="1"/>
  <c r="W301" i="1"/>
  <c r="X301" i="1"/>
  <c r="Y301" i="1"/>
  <c r="Q302" i="1"/>
  <c r="H302" i="1" s="1"/>
  <c r="W302" i="1"/>
  <c r="X302" i="1"/>
  <c r="Y302" i="1"/>
  <c r="Q303" i="1"/>
  <c r="H303" i="1" s="1"/>
  <c r="W303" i="1"/>
  <c r="X303" i="1"/>
  <c r="Y303" i="1"/>
  <c r="Q304" i="1"/>
  <c r="H304" i="1" s="1"/>
  <c r="W304" i="1"/>
  <c r="X304" i="1"/>
  <c r="Y304" i="1"/>
  <c r="Q305" i="1"/>
  <c r="H305" i="1" s="1"/>
  <c r="W305" i="1"/>
  <c r="X305" i="1"/>
  <c r="Y305" i="1"/>
  <c r="Q296" i="1"/>
  <c r="H296" i="1" s="1"/>
  <c r="W296" i="1"/>
  <c r="X296" i="1"/>
  <c r="Y296" i="1"/>
  <c r="Q289" i="1"/>
  <c r="H289" i="1" s="1"/>
  <c r="W289" i="1"/>
  <c r="X289" i="1"/>
  <c r="Y289" i="1"/>
  <c r="Q287" i="1"/>
  <c r="H287" i="1" s="1"/>
  <c r="W287" i="1"/>
  <c r="X287" i="1"/>
  <c r="Y287" i="1"/>
  <c r="Q284" i="1"/>
  <c r="H284" i="1" s="1"/>
  <c r="W284" i="1"/>
  <c r="X284" i="1"/>
  <c r="Y284" i="1"/>
  <c r="Q285" i="1"/>
  <c r="H285" i="1" s="1"/>
  <c r="W285" i="1"/>
  <c r="X285" i="1"/>
  <c r="Y285" i="1"/>
  <c r="Q281" i="1"/>
  <c r="H281" i="1" s="1"/>
  <c r="W281" i="1"/>
  <c r="X281" i="1"/>
  <c r="Y281" i="1"/>
  <c r="Q275" i="1"/>
  <c r="H275" i="1" s="1"/>
  <c r="W275" i="1"/>
  <c r="X275" i="1"/>
  <c r="Y275" i="1"/>
  <c r="Q276" i="1"/>
  <c r="H276" i="1" s="1"/>
  <c r="W276" i="1"/>
  <c r="X276" i="1"/>
  <c r="Y276" i="1"/>
  <c r="Q277" i="1"/>
  <c r="H277" i="1" s="1"/>
  <c r="W277" i="1"/>
  <c r="X277" i="1"/>
  <c r="Y277" i="1"/>
  <c r="Q278" i="1"/>
  <c r="H278" i="1" s="1"/>
  <c r="W278" i="1"/>
  <c r="X278" i="1"/>
  <c r="Y278" i="1"/>
  <c r="Q279" i="1"/>
  <c r="H279" i="1" s="1"/>
  <c r="W279" i="1"/>
  <c r="X279" i="1"/>
  <c r="Y279" i="1"/>
  <c r="Q267" i="1"/>
  <c r="H267" i="1" s="1"/>
  <c r="W267" i="1"/>
  <c r="X267" i="1"/>
  <c r="Y267" i="1"/>
  <c r="Q263" i="1"/>
  <c r="H263" i="1" s="1"/>
  <c r="W263" i="1"/>
  <c r="X263" i="1"/>
  <c r="Y263" i="1"/>
  <c r="Q264" i="1"/>
  <c r="H264" i="1" s="1"/>
  <c r="W264" i="1"/>
  <c r="X264" i="1"/>
  <c r="Y264" i="1"/>
  <c r="Q257" i="1"/>
  <c r="H257" i="1" s="1"/>
  <c r="W257" i="1"/>
  <c r="X257" i="1"/>
  <c r="Y257" i="1"/>
  <c r="Q258" i="1"/>
  <c r="H258" i="1" s="1"/>
  <c r="W258" i="1"/>
  <c r="X258" i="1"/>
  <c r="Y258" i="1"/>
  <c r="Q259" i="1"/>
  <c r="H259" i="1" s="1"/>
  <c r="W259" i="1"/>
  <c r="X259" i="1"/>
  <c r="Y259" i="1"/>
  <c r="Q260" i="1"/>
  <c r="H260" i="1" s="1"/>
  <c r="W260" i="1"/>
  <c r="X260" i="1"/>
  <c r="Y260" i="1"/>
  <c r="Q255" i="1"/>
  <c r="H255" i="1" s="1"/>
  <c r="W255" i="1"/>
  <c r="X255" i="1"/>
  <c r="Y255" i="1"/>
  <c r="Q251" i="1"/>
  <c r="H251" i="1" s="1"/>
  <c r="W251" i="1"/>
  <c r="X251" i="1"/>
  <c r="Y251" i="1"/>
  <c r="Q252" i="1"/>
  <c r="H252" i="1" s="1"/>
  <c r="W252" i="1"/>
  <c r="X252" i="1"/>
  <c r="Y252" i="1"/>
  <c r="Q247" i="1"/>
  <c r="H247" i="1" s="1"/>
  <c r="W247" i="1"/>
  <c r="X247" i="1"/>
  <c r="Y247" i="1"/>
  <c r="Q248" i="1"/>
  <c r="H248" i="1" s="1"/>
  <c r="W248" i="1"/>
  <c r="X248" i="1"/>
  <c r="Y248" i="1"/>
  <c r="Q238" i="1"/>
  <c r="H238" i="1" s="1"/>
  <c r="W238" i="1"/>
  <c r="X238" i="1"/>
  <c r="Y238" i="1"/>
  <c r="Q239" i="1"/>
  <c r="H239" i="1" s="1"/>
  <c r="W239" i="1"/>
  <c r="X239" i="1"/>
  <c r="Y239" i="1"/>
  <c r="Q240" i="1"/>
  <c r="H240" i="1" s="1"/>
  <c r="W240" i="1"/>
  <c r="X240" i="1"/>
  <c r="Y240" i="1"/>
  <c r="Q241" i="1"/>
  <c r="H241" i="1" s="1"/>
  <c r="W241" i="1"/>
  <c r="X241" i="1"/>
  <c r="Y241" i="1"/>
  <c r="Q242" i="1"/>
  <c r="H242" i="1" s="1"/>
  <c r="W242" i="1"/>
  <c r="X242" i="1"/>
  <c r="Y242" i="1"/>
  <c r="Q243" i="1"/>
  <c r="H243" i="1" s="1"/>
  <c r="W243" i="1"/>
  <c r="X243" i="1"/>
  <c r="Y243" i="1"/>
  <c r="Q244" i="1"/>
  <c r="H244" i="1" s="1"/>
  <c r="W244" i="1"/>
  <c r="X244" i="1"/>
  <c r="Y244" i="1"/>
  <c r="Q245" i="1"/>
  <c r="H245" i="1" s="1"/>
  <c r="W245" i="1"/>
  <c r="X245" i="1"/>
  <c r="Y245" i="1"/>
  <c r="Q236" i="1"/>
  <c r="H236" i="1" s="1"/>
  <c r="W236" i="1"/>
  <c r="X236" i="1"/>
  <c r="Y236" i="1"/>
  <c r="Q231" i="1"/>
  <c r="H231" i="1" s="1"/>
  <c r="W231" i="1"/>
  <c r="X231" i="1"/>
  <c r="Y231" i="1"/>
  <c r="Q232" i="1"/>
  <c r="H232" i="1" s="1"/>
  <c r="W232" i="1"/>
  <c r="X232" i="1"/>
  <c r="Y232" i="1"/>
  <c r="Q233" i="1"/>
  <c r="H233" i="1" s="1"/>
  <c r="W233" i="1"/>
  <c r="X233" i="1"/>
  <c r="Y233" i="1"/>
  <c r="Q234" i="1"/>
  <c r="H234" i="1" s="1"/>
  <c r="W234" i="1"/>
  <c r="X234" i="1"/>
  <c r="Y234" i="1"/>
  <c r="Q229" i="1"/>
  <c r="H229" i="1" s="1"/>
  <c r="W229" i="1"/>
  <c r="X229" i="1"/>
  <c r="Y229" i="1"/>
  <c r="Q227" i="1"/>
  <c r="H227" i="1" s="1"/>
  <c r="W227" i="1"/>
  <c r="X227" i="1"/>
  <c r="Y227" i="1"/>
  <c r="Q223" i="1"/>
  <c r="H223" i="1" s="1"/>
  <c r="W223" i="1"/>
  <c r="X223" i="1"/>
  <c r="Y223" i="1"/>
  <c r="Q221" i="1"/>
  <c r="H221" i="1" s="1"/>
  <c r="W221" i="1"/>
  <c r="X221" i="1"/>
  <c r="Y221" i="1"/>
  <c r="Q216" i="1"/>
  <c r="H216" i="1" s="1"/>
  <c r="W216" i="1"/>
  <c r="X216" i="1"/>
  <c r="Y216" i="1"/>
  <c r="Q217" i="1"/>
  <c r="H217" i="1" s="1"/>
  <c r="W217" i="1"/>
  <c r="X217" i="1"/>
  <c r="Y217" i="1"/>
  <c r="Q214" i="1"/>
  <c r="H214" i="1" s="1"/>
  <c r="W214" i="1"/>
  <c r="X214" i="1"/>
  <c r="Y214" i="1"/>
  <c r="Q210" i="1"/>
  <c r="H210" i="1" s="1"/>
  <c r="W210" i="1"/>
  <c r="X210" i="1"/>
  <c r="Y210" i="1"/>
  <c r="Q211" i="1"/>
  <c r="H211" i="1" s="1"/>
  <c r="W211" i="1"/>
  <c r="X211" i="1"/>
  <c r="Y211" i="1"/>
  <c r="Q206" i="1"/>
  <c r="H206" i="1" s="1"/>
  <c r="W206" i="1"/>
  <c r="X206" i="1"/>
  <c r="Y206" i="1"/>
  <c r="Q207" i="1"/>
  <c r="H207" i="1" s="1"/>
  <c r="W207" i="1"/>
  <c r="X207" i="1"/>
  <c r="Y207" i="1"/>
  <c r="Q208" i="1"/>
  <c r="H208" i="1" s="1"/>
  <c r="W208" i="1"/>
  <c r="X208" i="1"/>
  <c r="Y208" i="1"/>
  <c r="Q202" i="1"/>
  <c r="H202" i="1" s="1"/>
  <c r="W202" i="1"/>
  <c r="X202" i="1"/>
  <c r="Y202" i="1"/>
  <c r="Q203" i="1"/>
  <c r="H203" i="1" s="1"/>
  <c r="W203" i="1"/>
  <c r="X203" i="1"/>
  <c r="Y203" i="1"/>
  <c r="Q199" i="1"/>
  <c r="H199" i="1" s="1"/>
  <c r="W199" i="1"/>
  <c r="X199" i="1"/>
  <c r="Y199" i="1"/>
  <c r="Q194" i="1"/>
  <c r="H194" i="1" s="1"/>
  <c r="W194" i="1"/>
  <c r="X194" i="1"/>
  <c r="Y194" i="1"/>
  <c r="Q195" i="1"/>
  <c r="H195" i="1" s="1"/>
  <c r="W195" i="1"/>
  <c r="X195" i="1"/>
  <c r="Y195" i="1"/>
  <c r="Q196" i="1"/>
  <c r="H196" i="1" s="1"/>
  <c r="W196" i="1"/>
  <c r="X196" i="1"/>
  <c r="Y196" i="1"/>
  <c r="Q192" i="1"/>
  <c r="H192" i="1" s="1"/>
  <c r="W192" i="1"/>
  <c r="X192" i="1"/>
  <c r="Y192" i="1"/>
  <c r="Q189" i="1"/>
  <c r="H189" i="1" s="1"/>
  <c r="W189" i="1"/>
  <c r="X189" i="1"/>
  <c r="Y189" i="1"/>
  <c r="Q179" i="1"/>
  <c r="H179" i="1" s="1"/>
  <c r="W179" i="1"/>
  <c r="X179" i="1"/>
  <c r="Y179" i="1"/>
  <c r="Q180" i="1"/>
  <c r="H180" i="1" s="1"/>
  <c r="W180" i="1"/>
  <c r="X180" i="1"/>
  <c r="Y180" i="1"/>
  <c r="Q181" i="1"/>
  <c r="H181" i="1" s="1"/>
  <c r="W181" i="1"/>
  <c r="X181" i="1"/>
  <c r="Y181" i="1"/>
  <c r="Q182" i="1"/>
  <c r="H182" i="1" s="1"/>
  <c r="W182" i="1"/>
  <c r="X182" i="1"/>
  <c r="Y182" i="1"/>
  <c r="Q183" i="1"/>
  <c r="H183" i="1" s="1"/>
  <c r="W183" i="1"/>
  <c r="X183" i="1"/>
  <c r="Y183" i="1"/>
  <c r="Q184" i="1"/>
  <c r="H184" i="1" s="1"/>
  <c r="W184" i="1"/>
  <c r="X184" i="1"/>
  <c r="Y184" i="1"/>
  <c r="Q185" i="1"/>
  <c r="H185" i="1" s="1"/>
  <c r="W185" i="1"/>
  <c r="X185" i="1"/>
  <c r="Y185" i="1"/>
  <c r="Q171" i="1"/>
  <c r="H171" i="1" s="1"/>
  <c r="W171" i="1"/>
  <c r="X171" i="1"/>
  <c r="Y171" i="1"/>
  <c r="Q172" i="1"/>
  <c r="H172" i="1" s="1"/>
  <c r="W172" i="1"/>
  <c r="X172" i="1"/>
  <c r="Y172" i="1"/>
  <c r="Q173" i="1"/>
  <c r="H173" i="1" s="1"/>
  <c r="W173" i="1"/>
  <c r="X173" i="1"/>
  <c r="Y173" i="1"/>
  <c r="Q174" i="1"/>
  <c r="H174" i="1" s="1"/>
  <c r="W174" i="1"/>
  <c r="X174" i="1"/>
  <c r="Y174" i="1"/>
  <c r="Q169" i="1"/>
  <c r="H169" i="1" s="1"/>
  <c r="W169" i="1"/>
  <c r="X169" i="1"/>
  <c r="Y169" i="1"/>
  <c r="Q167" i="1"/>
  <c r="H167" i="1" s="1"/>
  <c r="W167" i="1"/>
  <c r="X167" i="1"/>
  <c r="Y167" i="1"/>
  <c r="Q162" i="1"/>
  <c r="H162" i="1" s="1"/>
  <c r="W162" i="1"/>
  <c r="X162" i="1"/>
  <c r="Y162" i="1"/>
  <c r="Q163" i="1"/>
  <c r="H163" i="1" s="1"/>
  <c r="W163" i="1"/>
  <c r="X163" i="1"/>
  <c r="Y163" i="1"/>
  <c r="Q164" i="1"/>
  <c r="H164" i="1" s="1"/>
  <c r="W164" i="1"/>
  <c r="X164" i="1"/>
  <c r="Y164" i="1"/>
  <c r="Q158" i="1"/>
  <c r="H158" i="1" s="1"/>
  <c r="W158" i="1"/>
  <c r="X158" i="1"/>
  <c r="Y158" i="1"/>
  <c r="Q159" i="1"/>
  <c r="H159" i="1" s="1"/>
  <c r="W159" i="1"/>
  <c r="X159" i="1"/>
  <c r="Y159" i="1"/>
  <c r="Q155" i="1"/>
  <c r="H155" i="1" s="1"/>
  <c r="W155" i="1"/>
  <c r="X155" i="1"/>
  <c r="Y155" i="1"/>
  <c r="Q156" i="1"/>
  <c r="H156" i="1" s="1"/>
  <c r="W156" i="1"/>
  <c r="X156" i="1"/>
  <c r="Y156" i="1"/>
  <c r="Q149" i="1"/>
  <c r="H149" i="1" s="1"/>
  <c r="W149" i="1"/>
  <c r="X149" i="1"/>
  <c r="Y149" i="1"/>
  <c r="Q150" i="1"/>
  <c r="H150" i="1" s="1"/>
  <c r="W150" i="1"/>
  <c r="X150" i="1"/>
  <c r="Y150" i="1"/>
  <c r="Q151" i="1"/>
  <c r="H151" i="1" s="1"/>
  <c r="W151" i="1"/>
  <c r="X151" i="1"/>
  <c r="Y151" i="1"/>
  <c r="Q152" i="1"/>
  <c r="H152" i="1" s="1"/>
  <c r="W152" i="1"/>
  <c r="X152" i="1"/>
  <c r="Y152" i="1"/>
  <c r="Q144" i="1"/>
  <c r="H144" i="1" s="1"/>
  <c r="W144" i="1"/>
  <c r="X144" i="1"/>
  <c r="Y144" i="1"/>
  <c r="Q138" i="1"/>
  <c r="H138" i="1" s="1"/>
  <c r="W138" i="1"/>
  <c r="X138" i="1"/>
  <c r="Y138" i="1"/>
  <c r="Q139" i="1"/>
  <c r="H139" i="1" s="1"/>
  <c r="W139" i="1"/>
  <c r="X139" i="1"/>
  <c r="Y139" i="1"/>
  <c r="Q140" i="1"/>
  <c r="H140" i="1" s="1"/>
  <c r="W140" i="1"/>
  <c r="X140" i="1"/>
  <c r="Y140" i="1"/>
  <c r="Q124" i="1"/>
  <c r="H124" i="1" s="1"/>
  <c r="W124" i="1"/>
  <c r="X124" i="1"/>
  <c r="Y124" i="1"/>
  <c r="Q125" i="1"/>
  <c r="H125" i="1" s="1"/>
  <c r="W125" i="1"/>
  <c r="X125" i="1"/>
  <c r="Y125" i="1"/>
  <c r="Q126" i="1"/>
  <c r="H126" i="1" s="1"/>
  <c r="W126" i="1"/>
  <c r="X126" i="1"/>
  <c r="Y126" i="1"/>
  <c r="Q127" i="1"/>
  <c r="H127" i="1" s="1"/>
  <c r="W127" i="1"/>
  <c r="X127" i="1"/>
  <c r="Y127" i="1"/>
  <c r="Q128" i="1"/>
  <c r="H128" i="1" s="1"/>
  <c r="W128" i="1"/>
  <c r="X128" i="1"/>
  <c r="Y128" i="1"/>
  <c r="Q113" i="1"/>
  <c r="H113" i="1" s="1"/>
  <c r="W113" i="1"/>
  <c r="X113" i="1"/>
  <c r="Y113" i="1"/>
  <c r="Q114" i="1"/>
  <c r="H114" i="1" s="1"/>
  <c r="W114" i="1"/>
  <c r="X114" i="1"/>
  <c r="Y114" i="1"/>
  <c r="Q115" i="1"/>
  <c r="H115" i="1" s="1"/>
  <c r="W115" i="1"/>
  <c r="X115" i="1"/>
  <c r="Y115" i="1"/>
  <c r="Q116" i="1"/>
  <c r="H116" i="1" s="1"/>
  <c r="W116" i="1"/>
  <c r="X116" i="1"/>
  <c r="Y116" i="1"/>
  <c r="Q117" i="1"/>
  <c r="H117" i="1" s="1"/>
  <c r="W117" i="1"/>
  <c r="X117" i="1"/>
  <c r="Y117" i="1"/>
  <c r="Q118" i="1"/>
  <c r="H118" i="1" s="1"/>
  <c r="W118" i="1"/>
  <c r="X118" i="1"/>
  <c r="Y118" i="1"/>
  <c r="Q119" i="1"/>
  <c r="H119" i="1" s="1"/>
  <c r="W119" i="1"/>
  <c r="X119" i="1"/>
  <c r="Y119" i="1"/>
  <c r="Q120" i="1"/>
  <c r="H120" i="1" s="1"/>
  <c r="W120" i="1"/>
  <c r="X120" i="1"/>
  <c r="Y120" i="1"/>
  <c r="Q121" i="1"/>
  <c r="H121" i="1" s="1"/>
  <c r="W121" i="1"/>
  <c r="X121" i="1"/>
  <c r="Y121" i="1"/>
  <c r="Q122" i="1"/>
  <c r="H122" i="1" s="1"/>
  <c r="W122" i="1"/>
  <c r="X122" i="1"/>
  <c r="Y122" i="1"/>
  <c r="Q110" i="1"/>
  <c r="H110" i="1" s="1"/>
  <c r="W110" i="1"/>
  <c r="X110" i="1"/>
  <c r="Y110" i="1"/>
  <c r="Q108" i="1"/>
  <c r="H108" i="1" s="1"/>
  <c r="W108" i="1"/>
  <c r="X108" i="1"/>
  <c r="Y108" i="1"/>
  <c r="Q106" i="1"/>
  <c r="H106" i="1" s="1"/>
  <c r="W106" i="1"/>
  <c r="X106" i="1"/>
  <c r="Y106" i="1"/>
  <c r="Q104" i="1"/>
  <c r="H104" i="1" s="1"/>
  <c r="W104" i="1"/>
  <c r="X104" i="1"/>
  <c r="Y104" i="1"/>
  <c r="Q97" i="1"/>
  <c r="H97" i="1" s="1"/>
  <c r="W97" i="1"/>
  <c r="X97" i="1"/>
  <c r="Y97" i="1"/>
  <c r="Q98" i="1"/>
  <c r="H98" i="1" s="1"/>
  <c r="W98" i="1"/>
  <c r="X98" i="1"/>
  <c r="Y98" i="1"/>
  <c r="Q99" i="1"/>
  <c r="H99" i="1" s="1"/>
  <c r="W99" i="1"/>
  <c r="X99" i="1"/>
  <c r="Y99" i="1"/>
  <c r="Q93" i="1"/>
  <c r="H93" i="1" s="1"/>
  <c r="W93" i="1"/>
  <c r="X93" i="1"/>
  <c r="Y93" i="1"/>
  <c r="Q87" i="1"/>
  <c r="H87" i="1" s="1"/>
  <c r="W87" i="1"/>
  <c r="X87" i="1"/>
  <c r="Y87" i="1"/>
  <c r="Q88" i="1"/>
  <c r="H88" i="1" s="1"/>
  <c r="W88" i="1"/>
  <c r="X88" i="1"/>
  <c r="Y88" i="1"/>
  <c r="Q89" i="1"/>
  <c r="H89" i="1" s="1"/>
  <c r="W89" i="1"/>
  <c r="X89" i="1"/>
  <c r="Y89" i="1"/>
  <c r="Q90" i="1"/>
  <c r="H90" i="1" s="1"/>
  <c r="W90" i="1"/>
  <c r="X90" i="1"/>
  <c r="Y90" i="1"/>
  <c r="Q80" i="1"/>
  <c r="H80" i="1" s="1"/>
  <c r="W80" i="1"/>
  <c r="X80" i="1"/>
  <c r="Y80" i="1"/>
  <c r="Q81" i="1"/>
  <c r="H81" i="1" s="1"/>
  <c r="W81" i="1"/>
  <c r="X81" i="1"/>
  <c r="Y81" i="1"/>
  <c r="Q75" i="1"/>
  <c r="H75" i="1" s="1"/>
  <c r="W75" i="1"/>
  <c r="X75" i="1"/>
  <c r="Y75" i="1"/>
  <c r="Q76" i="1"/>
  <c r="H76" i="1" s="1"/>
  <c r="W76" i="1"/>
  <c r="X76" i="1"/>
  <c r="Y76" i="1"/>
  <c r="Q77" i="1"/>
  <c r="H77" i="1" s="1"/>
  <c r="W77" i="1"/>
  <c r="X77" i="1"/>
  <c r="Y77" i="1"/>
  <c r="Q78" i="1"/>
  <c r="H78" i="1" s="1"/>
  <c r="W78" i="1"/>
  <c r="X78" i="1"/>
  <c r="Y78" i="1"/>
  <c r="Q72" i="1"/>
  <c r="H72" i="1" s="1"/>
  <c r="W72" i="1"/>
  <c r="X72" i="1"/>
  <c r="Y72" i="1"/>
  <c r="Q73" i="1"/>
  <c r="H73" i="1" s="1"/>
  <c r="W73" i="1"/>
  <c r="X73" i="1"/>
  <c r="Y73" i="1"/>
  <c r="Q67" i="1"/>
  <c r="H67" i="1" s="1"/>
  <c r="W67" i="1"/>
  <c r="X67" i="1"/>
  <c r="Y67" i="1"/>
  <c r="Q68" i="1"/>
  <c r="H68" i="1" s="1"/>
  <c r="W68" i="1"/>
  <c r="X68" i="1"/>
  <c r="Y68" i="1"/>
  <c r="Q69" i="1"/>
  <c r="H69" i="1" s="1"/>
  <c r="W69" i="1"/>
  <c r="X69" i="1"/>
  <c r="Y69" i="1"/>
  <c r="Q63" i="1"/>
  <c r="H63" i="1" s="1"/>
  <c r="W63" i="1"/>
  <c r="X63" i="1"/>
  <c r="Y63" i="1"/>
  <c r="Q64" i="1"/>
  <c r="H64" i="1" s="1"/>
  <c r="W64" i="1"/>
  <c r="X64" i="1"/>
  <c r="Y64" i="1"/>
  <c r="Q65" i="1"/>
  <c r="H65" i="1" s="1"/>
  <c r="W65" i="1"/>
  <c r="X65" i="1"/>
  <c r="Y65" i="1"/>
  <c r="Q61" i="1"/>
  <c r="H61" i="1" s="1"/>
  <c r="W61" i="1"/>
  <c r="X61" i="1"/>
  <c r="Y61" i="1"/>
  <c r="Q58" i="1"/>
  <c r="H58" i="1" s="1"/>
  <c r="W58" i="1"/>
  <c r="X58" i="1"/>
  <c r="Y58" i="1"/>
  <c r="Q56" i="1"/>
  <c r="H56" i="1" s="1"/>
  <c r="W56" i="1"/>
  <c r="X56" i="1"/>
  <c r="Y56" i="1"/>
  <c r="Q48" i="1"/>
  <c r="H48" i="1" s="1"/>
  <c r="W48" i="1"/>
  <c r="X48" i="1"/>
  <c r="Y48" i="1"/>
  <c r="Q49" i="1"/>
  <c r="H49" i="1" s="1"/>
  <c r="W49" i="1"/>
  <c r="X49" i="1"/>
  <c r="Y49" i="1"/>
  <c r="Q50" i="1"/>
  <c r="H50" i="1" s="1"/>
  <c r="W50" i="1"/>
  <c r="X50" i="1"/>
  <c r="Y50" i="1"/>
  <c r="Q51" i="1"/>
  <c r="H51" i="1" s="1"/>
  <c r="W51" i="1"/>
  <c r="X51" i="1"/>
  <c r="Y51" i="1"/>
  <c r="Q52" i="1"/>
  <c r="H52" i="1" s="1"/>
  <c r="W52" i="1"/>
  <c r="X52" i="1"/>
  <c r="Y52" i="1"/>
  <c r="Q43" i="1"/>
  <c r="H43" i="1" s="1"/>
  <c r="W43" i="1"/>
  <c r="X43" i="1"/>
  <c r="Y43" i="1"/>
  <c r="Q44" i="1"/>
  <c r="H44" i="1" s="1"/>
  <c r="W44" i="1"/>
  <c r="X44" i="1"/>
  <c r="Y44" i="1"/>
  <c r="Q40" i="1"/>
  <c r="H40" i="1" s="1"/>
  <c r="W40" i="1"/>
  <c r="X40" i="1"/>
  <c r="Y40" i="1"/>
  <c r="Q37" i="1"/>
  <c r="H37" i="1" s="1"/>
  <c r="W37" i="1"/>
  <c r="X37" i="1"/>
  <c r="Y37" i="1"/>
  <c r="Q35" i="1"/>
  <c r="H35" i="1" s="1"/>
  <c r="W35" i="1"/>
  <c r="X35" i="1"/>
  <c r="Y35" i="1"/>
  <c r="Q31" i="1"/>
  <c r="H31" i="1" s="1"/>
  <c r="W31" i="1"/>
  <c r="X31" i="1"/>
  <c r="Y31" i="1"/>
  <c r="Q25" i="1"/>
  <c r="H25" i="1" s="1"/>
  <c r="W25" i="1"/>
  <c r="X25" i="1"/>
  <c r="Y25" i="1"/>
  <c r="Q26" i="1"/>
  <c r="H26" i="1" s="1"/>
  <c r="W26" i="1"/>
  <c r="X26" i="1"/>
  <c r="Y26" i="1"/>
  <c r="Q27" i="1"/>
  <c r="H27" i="1" s="1"/>
  <c r="W27" i="1"/>
  <c r="X27" i="1"/>
  <c r="Y27" i="1"/>
  <c r="Q28" i="1"/>
  <c r="H28" i="1" s="1"/>
  <c r="W28" i="1"/>
  <c r="X28" i="1"/>
  <c r="Y28" i="1"/>
  <c r="Q29" i="1"/>
  <c r="H29" i="1" s="1"/>
  <c r="W29" i="1"/>
  <c r="X29" i="1"/>
  <c r="Y29" i="1"/>
  <c r="Q20" i="1"/>
  <c r="H20" i="1" s="1"/>
  <c r="W20" i="1"/>
  <c r="X20" i="1"/>
  <c r="Y20" i="1"/>
  <c r="Q21" i="1"/>
  <c r="H21" i="1" s="1"/>
  <c r="W21" i="1"/>
  <c r="X21" i="1"/>
  <c r="Y21" i="1"/>
  <c r="Q22" i="1"/>
  <c r="H22" i="1" s="1"/>
  <c r="W22" i="1"/>
  <c r="X22" i="1"/>
  <c r="Y22" i="1"/>
  <c r="Q15" i="1"/>
  <c r="H15" i="1" s="1"/>
  <c r="W15" i="1"/>
  <c r="X15" i="1"/>
  <c r="Y15" i="1"/>
  <c r="Q16" i="1"/>
  <c r="H16" i="1" s="1"/>
  <c r="W16" i="1"/>
  <c r="X16" i="1"/>
  <c r="Y16" i="1"/>
  <c r="Q17" i="1"/>
  <c r="H17" i="1" s="1"/>
  <c r="W17" i="1"/>
  <c r="X17" i="1"/>
  <c r="Y17" i="1"/>
  <c r="Q18" i="1"/>
  <c r="H18" i="1" s="1"/>
  <c r="W18" i="1"/>
  <c r="X18" i="1"/>
  <c r="Y18" i="1"/>
  <c r="Q13" i="1"/>
  <c r="H13" i="1" s="1"/>
  <c r="W13" i="1"/>
  <c r="X13" i="1"/>
  <c r="Y13" i="1"/>
  <c r="Q8" i="1"/>
  <c r="H8" i="1" s="1"/>
  <c r="W8" i="1"/>
  <c r="X8" i="1"/>
  <c r="Y8" i="1"/>
  <c r="Q5" i="1"/>
  <c r="H5" i="1" s="1"/>
  <c r="W5" i="1"/>
  <c r="X5" i="1"/>
  <c r="Y5" i="1"/>
  <c r="Q3" i="1"/>
  <c r="H3" i="1" s="1"/>
  <c r="Q4" i="1"/>
  <c r="H4" i="1" s="1"/>
  <c r="Q6" i="1"/>
  <c r="H6" i="1" s="1"/>
  <c r="Q7" i="1"/>
  <c r="H7" i="1" s="1"/>
  <c r="Q9" i="1"/>
  <c r="H9" i="1" s="1"/>
  <c r="Q10" i="1"/>
  <c r="H10" i="1" s="1"/>
  <c r="Q12" i="1"/>
  <c r="H12" i="1" s="1"/>
  <c r="Q14" i="1"/>
  <c r="H14" i="1" s="1"/>
  <c r="Q19" i="1"/>
  <c r="H19" i="1" s="1"/>
  <c r="Q23" i="1"/>
  <c r="H23" i="1" s="1"/>
  <c r="Q24" i="1"/>
  <c r="H24" i="1" s="1"/>
  <c r="Q30" i="1"/>
  <c r="H30" i="1" s="1"/>
  <c r="Q32" i="1"/>
  <c r="H32" i="1" s="1"/>
  <c r="Q33" i="1"/>
  <c r="H33" i="1" s="1"/>
  <c r="Q34" i="1"/>
  <c r="H34" i="1" s="1"/>
  <c r="Q36" i="1"/>
  <c r="H36" i="1" s="1"/>
  <c r="Q38" i="1"/>
  <c r="H38" i="1" s="1"/>
  <c r="Q39" i="1"/>
  <c r="H39" i="1" s="1"/>
  <c r="Q41" i="1"/>
  <c r="H41" i="1" s="1"/>
  <c r="Q42" i="1"/>
  <c r="H42" i="1" s="1"/>
  <c r="Q45" i="1"/>
  <c r="H45" i="1" s="1"/>
  <c r="Q46" i="1"/>
  <c r="H46" i="1" s="1"/>
  <c r="Q47" i="1"/>
  <c r="H47" i="1" s="1"/>
  <c r="Q53" i="1"/>
  <c r="H53" i="1" s="1"/>
  <c r="Q54" i="1"/>
  <c r="H54" i="1" s="1"/>
  <c r="Q55" i="1"/>
  <c r="H55" i="1" s="1"/>
  <c r="Q57" i="1"/>
  <c r="H57" i="1" s="1"/>
  <c r="Q59" i="1"/>
  <c r="H59" i="1" s="1"/>
  <c r="Q60" i="1"/>
  <c r="H60" i="1" s="1"/>
  <c r="Q62" i="1"/>
  <c r="H62" i="1" s="1"/>
  <c r="Q66" i="1"/>
  <c r="H66" i="1" s="1"/>
  <c r="Q70" i="1"/>
  <c r="H70" i="1" s="1"/>
  <c r="Q71" i="1"/>
  <c r="H71" i="1" s="1"/>
  <c r="Q74" i="1"/>
  <c r="H74" i="1" s="1"/>
  <c r="Q79" i="1"/>
  <c r="H79" i="1" s="1"/>
  <c r="Q82" i="1"/>
  <c r="H82" i="1" s="1"/>
  <c r="Q83" i="1"/>
  <c r="H83" i="1" s="1"/>
  <c r="Q84" i="1"/>
  <c r="H84" i="1" s="1"/>
  <c r="Q85" i="1"/>
  <c r="H85" i="1" s="1"/>
  <c r="Q86" i="1"/>
  <c r="H86" i="1" s="1"/>
  <c r="Q92" i="1"/>
  <c r="H92" i="1" s="1"/>
  <c r="Q94" i="1"/>
  <c r="H94" i="1" s="1"/>
  <c r="Q95" i="1"/>
  <c r="H95" i="1" s="1"/>
  <c r="Q96" i="1"/>
  <c r="H96" i="1" s="1"/>
  <c r="Q100" i="1"/>
  <c r="H100" i="1" s="1"/>
  <c r="Q101" i="1"/>
  <c r="H101" i="1" s="1"/>
  <c r="Q102" i="1"/>
  <c r="Q103" i="1"/>
  <c r="H103" i="1" s="1"/>
  <c r="Q105" i="1"/>
  <c r="H105" i="1" s="1"/>
  <c r="Q107" i="1"/>
  <c r="H107" i="1" s="1"/>
  <c r="Q109" i="1"/>
  <c r="H109" i="1" s="1"/>
  <c r="Q111" i="1"/>
  <c r="H111" i="1" s="1"/>
  <c r="Q112" i="1"/>
  <c r="H112" i="1" s="1"/>
  <c r="Q123" i="1"/>
  <c r="H123" i="1" s="1"/>
  <c r="Q129" i="1"/>
  <c r="H129" i="1" s="1"/>
  <c r="Q130" i="1"/>
  <c r="H130" i="1" s="1"/>
  <c r="Q131" i="1"/>
  <c r="H131" i="1" s="1"/>
  <c r="Q132" i="1"/>
  <c r="H132" i="1" s="1"/>
  <c r="Q133" i="1"/>
  <c r="H133" i="1" s="1"/>
  <c r="Q134" i="1"/>
  <c r="H134" i="1" s="1"/>
  <c r="Q135" i="1"/>
  <c r="H135" i="1" s="1"/>
  <c r="Q136" i="1"/>
  <c r="H136" i="1" s="1"/>
  <c r="Q137" i="1"/>
  <c r="H137" i="1" s="1"/>
  <c r="Q141" i="1"/>
  <c r="H141" i="1" s="1"/>
  <c r="Q142" i="1"/>
  <c r="H142" i="1" s="1"/>
  <c r="Q143" i="1"/>
  <c r="H143" i="1" s="1"/>
  <c r="Q145" i="1"/>
  <c r="H145" i="1" s="1"/>
  <c r="Q146" i="1"/>
  <c r="H146" i="1" s="1"/>
  <c r="Q147" i="1"/>
  <c r="H147" i="1" s="1"/>
  <c r="Q153" i="1"/>
  <c r="H153" i="1" s="1"/>
  <c r="Q154" i="1"/>
  <c r="H154" i="1" s="1"/>
  <c r="Q157" i="1"/>
  <c r="H157" i="1" s="1"/>
  <c r="Q160" i="1"/>
  <c r="H160" i="1" s="1"/>
  <c r="Q161" i="1"/>
  <c r="H161" i="1" s="1"/>
  <c r="Q165" i="1"/>
  <c r="H165" i="1" s="1"/>
  <c r="Q166" i="1"/>
  <c r="H166" i="1" s="1"/>
  <c r="Q168" i="1"/>
  <c r="H168" i="1" s="1"/>
  <c r="Q170" i="1"/>
  <c r="H170" i="1" s="1"/>
  <c r="Q175" i="1"/>
  <c r="H175" i="1" s="1"/>
  <c r="Q176" i="1"/>
  <c r="H176" i="1" s="1"/>
  <c r="Q177" i="1"/>
  <c r="H177" i="1" s="1"/>
  <c r="Q178" i="1"/>
  <c r="H178" i="1" s="1"/>
  <c r="Q186" i="1"/>
  <c r="H186" i="1" s="1"/>
  <c r="Q187" i="1"/>
  <c r="H187" i="1" s="1"/>
  <c r="Q188" i="1"/>
  <c r="H188" i="1" s="1"/>
  <c r="Q190" i="1"/>
  <c r="H190" i="1" s="1"/>
  <c r="Q191" i="1"/>
  <c r="H191" i="1" s="1"/>
  <c r="Q193" i="1"/>
  <c r="H193" i="1" s="1"/>
  <c r="Q197" i="1"/>
  <c r="H197" i="1" s="1"/>
  <c r="Q198" i="1"/>
  <c r="H198" i="1" s="1"/>
  <c r="Q200" i="1"/>
  <c r="H200" i="1" s="1"/>
  <c r="Q201" i="1"/>
  <c r="H201" i="1" s="1"/>
  <c r="Q204" i="1"/>
  <c r="H204" i="1" s="1"/>
  <c r="Q205" i="1"/>
  <c r="H205" i="1" s="1"/>
  <c r="Q209" i="1"/>
  <c r="H209" i="1" s="1"/>
  <c r="Q212" i="1"/>
  <c r="H212" i="1" s="1"/>
  <c r="Q213" i="1"/>
  <c r="H213" i="1" s="1"/>
  <c r="Q215" i="1"/>
  <c r="H215" i="1" s="1"/>
  <c r="Q218" i="1"/>
  <c r="H218" i="1" s="1"/>
  <c r="Q219" i="1"/>
  <c r="H219" i="1" s="1"/>
  <c r="Q220" i="1"/>
  <c r="H220" i="1" s="1"/>
  <c r="Q222" i="1"/>
  <c r="H222" i="1" s="1"/>
  <c r="Q224" i="1"/>
  <c r="H224" i="1" s="1"/>
  <c r="Q225" i="1"/>
  <c r="H225" i="1" s="1"/>
  <c r="Q226" i="1"/>
  <c r="H226" i="1" s="1"/>
  <c r="Q228" i="1"/>
  <c r="H228" i="1" s="1"/>
  <c r="Q230" i="1"/>
  <c r="H230" i="1" s="1"/>
  <c r="Q235" i="1"/>
  <c r="H235" i="1" s="1"/>
  <c r="Q237" i="1"/>
  <c r="H237" i="1" s="1"/>
  <c r="Q246" i="1"/>
  <c r="H246" i="1" s="1"/>
  <c r="Q249" i="1"/>
  <c r="H249" i="1" s="1"/>
  <c r="Q250" i="1"/>
  <c r="H250" i="1" s="1"/>
  <c r="Q253" i="1"/>
  <c r="H253" i="1" s="1"/>
  <c r="Q254" i="1"/>
  <c r="H254" i="1" s="1"/>
  <c r="Q261" i="1"/>
  <c r="H261" i="1" s="1"/>
  <c r="Q262" i="1"/>
  <c r="H262" i="1" s="1"/>
  <c r="Q265" i="1"/>
  <c r="H265" i="1" s="1"/>
  <c r="Q266" i="1"/>
  <c r="H266" i="1" s="1"/>
  <c r="Q268" i="1"/>
  <c r="H268" i="1" s="1"/>
  <c r="Q269" i="1"/>
  <c r="H269" i="1" s="1"/>
  <c r="Q270" i="1"/>
  <c r="H270" i="1" s="1"/>
  <c r="Q271" i="1"/>
  <c r="H271" i="1" s="1"/>
  <c r="Q272" i="1"/>
  <c r="H272" i="1" s="1"/>
  <c r="Q273" i="1"/>
  <c r="H273" i="1" s="1"/>
  <c r="Q274" i="1"/>
  <c r="H274" i="1" s="1"/>
  <c r="Q280" i="1"/>
  <c r="H280" i="1" s="1"/>
  <c r="Q282" i="1"/>
  <c r="H282" i="1" s="1"/>
  <c r="Q283" i="1"/>
  <c r="H283" i="1" s="1"/>
  <c r="Q286" i="1"/>
  <c r="H286" i="1" s="1"/>
  <c r="Q288" i="1"/>
  <c r="H288" i="1" s="1"/>
  <c r="Q290" i="1"/>
  <c r="H290" i="1" s="1"/>
  <c r="Q291" i="1"/>
  <c r="H291" i="1" s="1"/>
  <c r="Q292" i="1"/>
  <c r="Q293" i="1"/>
  <c r="H293" i="1" s="1"/>
  <c r="Q294" i="1"/>
  <c r="H294" i="1" s="1"/>
  <c r="Q295" i="1"/>
  <c r="H295" i="1" s="1"/>
  <c r="Q297" i="1"/>
  <c r="H297" i="1" s="1"/>
  <c r="Q298" i="1"/>
  <c r="H298" i="1" s="1"/>
  <c r="Q299" i="1"/>
  <c r="H299" i="1" s="1"/>
  <c r="Q306" i="1"/>
  <c r="H306" i="1" s="1"/>
  <c r="Q307" i="1"/>
  <c r="H307" i="1" s="1"/>
  <c r="Q323" i="1"/>
  <c r="H323" i="1" s="1"/>
  <c r="Q324" i="1"/>
  <c r="H324" i="1" s="1"/>
  <c r="Q325" i="1"/>
  <c r="H325" i="1" s="1"/>
  <c r="Q326" i="1"/>
  <c r="H326" i="1" s="1"/>
  <c r="Q329" i="1"/>
  <c r="H329" i="1" s="1"/>
  <c r="Q334" i="1"/>
  <c r="H334" i="1" s="1"/>
  <c r="Q335" i="1"/>
  <c r="H335" i="1" s="1"/>
  <c r="Q336" i="1"/>
  <c r="H336" i="1" s="1"/>
  <c r="Q337" i="1"/>
  <c r="H337" i="1" s="1"/>
  <c r="Q338" i="1"/>
  <c r="H338" i="1" s="1"/>
  <c r="Q342" i="1"/>
  <c r="H342" i="1" s="1"/>
  <c r="Q343" i="1"/>
  <c r="H343" i="1" s="1"/>
  <c r="Q345" i="1"/>
  <c r="H345" i="1" s="1"/>
  <c r="Q346" i="1"/>
  <c r="H346" i="1" s="1"/>
  <c r="Q348" i="1"/>
  <c r="H348" i="1" s="1"/>
  <c r="Q353" i="1"/>
  <c r="H353" i="1" s="1"/>
  <c r="Q355" i="1"/>
  <c r="H355" i="1" s="1"/>
  <c r="Q356" i="1"/>
  <c r="H356" i="1" s="1"/>
  <c r="Q357" i="1"/>
  <c r="H357" i="1" s="1"/>
  <c r="Q358" i="1"/>
  <c r="H358" i="1" s="1"/>
  <c r="Q360" i="1"/>
  <c r="H360" i="1" s="1"/>
  <c r="Q363" i="1"/>
  <c r="H363" i="1" s="1"/>
  <c r="Q378" i="1"/>
  <c r="H378" i="1" s="1"/>
  <c r="Q379" i="1"/>
  <c r="H379" i="1" s="1"/>
  <c r="Q381" i="1"/>
  <c r="H381" i="1" s="1"/>
  <c r="Q383" i="1"/>
  <c r="H383" i="1" s="1"/>
  <c r="Q384" i="1"/>
  <c r="H384" i="1" s="1"/>
  <c r="Q385" i="1"/>
  <c r="H385" i="1" s="1"/>
  <c r="Q387" i="1"/>
  <c r="H387" i="1" s="1"/>
  <c r="Q390" i="1"/>
  <c r="H390" i="1" s="1"/>
  <c r="Q396" i="1"/>
  <c r="H396" i="1" s="1"/>
  <c r="Q410" i="1"/>
  <c r="H410" i="1" s="1"/>
  <c r="Q411" i="1"/>
  <c r="H411" i="1" s="1"/>
  <c r="Q412" i="1"/>
  <c r="H412" i="1" s="1"/>
  <c r="Q413" i="1"/>
  <c r="H413" i="1" s="1"/>
  <c r="Q414" i="1"/>
  <c r="H414" i="1" s="1"/>
  <c r="Q417" i="1"/>
  <c r="H417" i="1" s="1"/>
  <c r="Q418" i="1"/>
  <c r="H418" i="1" s="1"/>
  <c r="Q420" i="1"/>
  <c r="H420" i="1" s="1"/>
  <c r="Q423" i="1"/>
  <c r="H423" i="1" s="1"/>
  <c r="Q424" i="1"/>
  <c r="H424" i="1" s="1"/>
  <c r="Q428" i="1"/>
  <c r="H428" i="1" s="1"/>
  <c r="Q430" i="1"/>
  <c r="H430" i="1" s="1"/>
  <c r="Q434" i="1"/>
  <c r="H434" i="1" s="1"/>
  <c r="Q436" i="1"/>
  <c r="H436" i="1" s="1"/>
  <c r="Q437" i="1"/>
  <c r="H437" i="1" s="1"/>
  <c r="Q438" i="1"/>
  <c r="H438" i="1" s="1"/>
  <c r="Q440" i="1"/>
  <c r="H440" i="1" s="1"/>
  <c r="Q441" i="1"/>
  <c r="H441" i="1" s="1"/>
  <c r="Q442" i="1"/>
  <c r="H442" i="1" s="1"/>
  <c r="Q444" i="1"/>
  <c r="H444" i="1" s="1"/>
  <c r="Q446" i="1"/>
  <c r="H446" i="1" s="1"/>
  <c r="Q448" i="1"/>
  <c r="H448" i="1" s="1"/>
  <c r="Q449" i="1"/>
  <c r="Q451" i="1"/>
  <c r="H451" i="1" s="1"/>
  <c r="Q454" i="1"/>
  <c r="H454" i="1" s="1"/>
  <c r="Q455" i="1"/>
  <c r="H455" i="1" s="1"/>
  <c r="Q457" i="1"/>
  <c r="H457" i="1" s="1"/>
  <c r="Q460" i="1"/>
  <c r="H460" i="1" s="1"/>
  <c r="Q463" i="1"/>
  <c r="H463" i="1" s="1"/>
  <c r="Q487" i="1"/>
  <c r="H487" i="1" s="1"/>
  <c r="Q491" i="1"/>
  <c r="H491" i="1" s="1"/>
  <c r="Q492" i="1"/>
  <c r="H492" i="1" s="1"/>
  <c r="Q493" i="1"/>
  <c r="H493" i="1" s="1"/>
  <c r="Q495" i="1"/>
  <c r="H495" i="1" s="1"/>
  <c r="Q496" i="1"/>
  <c r="H496" i="1" s="1"/>
  <c r="X42" i="1"/>
  <c r="X85" i="1"/>
  <c r="X165" i="1"/>
  <c r="X230" i="1"/>
  <c r="X346" i="1"/>
  <c r="X411" i="1"/>
  <c r="X423" i="1"/>
  <c r="X446" i="1"/>
  <c r="X32" i="1"/>
  <c r="X60" i="1"/>
  <c r="X145" i="1"/>
  <c r="X224" i="1"/>
  <c r="X237" i="1"/>
  <c r="X280" i="1"/>
  <c r="X293" i="1"/>
  <c r="X297" i="1"/>
  <c r="X385" i="1"/>
  <c r="X410" i="1"/>
  <c r="X437" i="1"/>
  <c r="X491" i="1"/>
  <c r="X96" i="1"/>
  <c r="X102" i="1"/>
  <c r="X157" i="1"/>
  <c r="X256" i="1"/>
  <c r="X187" i="1"/>
  <c r="X271" i="1"/>
  <c r="X283" i="1"/>
  <c r="X9" i="1"/>
  <c r="X79" i="1"/>
  <c r="X136" i="1"/>
  <c r="X147" i="1"/>
  <c r="X148" i="1"/>
  <c r="X153" i="1"/>
  <c r="X186" i="1"/>
  <c r="X190" i="1"/>
  <c r="X200" i="1"/>
  <c r="X228" i="1"/>
  <c r="X273" i="1"/>
  <c r="X292" i="1"/>
  <c r="X307" i="1"/>
  <c r="X420" i="1"/>
  <c r="X430" i="1"/>
  <c r="X441" i="1"/>
  <c r="X4" i="1"/>
  <c r="X6" i="1"/>
  <c r="X7" i="1"/>
  <c r="X11" i="1"/>
  <c r="X14" i="1"/>
  <c r="X30" i="1"/>
  <c r="X36" i="1"/>
  <c r="X46" i="1"/>
  <c r="X53" i="1"/>
  <c r="X54" i="1"/>
  <c r="X66" i="1"/>
  <c r="X70" i="1"/>
  <c r="X82" i="1"/>
  <c r="X83" i="1"/>
  <c r="X112" i="1"/>
  <c r="X131" i="1"/>
  <c r="X134" i="1"/>
  <c r="X160" i="1"/>
  <c r="X166" i="1"/>
  <c r="X168" i="1"/>
  <c r="X170" i="1"/>
  <c r="X177" i="1"/>
  <c r="X197" i="1"/>
  <c r="X215" i="1"/>
  <c r="X222" i="1"/>
  <c r="X225" i="1"/>
  <c r="X226" i="1"/>
  <c r="X253" i="1"/>
  <c r="X265" i="1"/>
  <c r="X268" i="1"/>
  <c r="X282" i="1"/>
  <c r="X295" i="1"/>
  <c r="X324" i="1"/>
  <c r="X329" i="1"/>
  <c r="X334" i="1"/>
  <c r="X336" i="1"/>
  <c r="X337" i="1"/>
  <c r="X348" i="1"/>
  <c r="X363" i="1"/>
  <c r="X381" i="1"/>
  <c r="X383" i="1"/>
  <c r="X384" i="1"/>
  <c r="X387" i="1"/>
  <c r="X434" i="1"/>
  <c r="X438" i="1"/>
  <c r="X440" i="1"/>
  <c r="X442" i="1"/>
  <c r="X455" i="1"/>
  <c r="X487" i="1"/>
  <c r="X495" i="1"/>
  <c r="X496" i="1"/>
  <c r="X45" i="1"/>
  <c r="X62" i="1"/>
  <c r="X107" i="1"/>
  <c r="X137" i="1"/>
  <c r="X143" i="1"/>
  <c r="X176" i="1"/>
  <c r="X178" i="1"/>
  <c r="X274" i="1"/>
  <c r="X290" i="1"/>
  <c r="X2" i="1"/>
  <c r="X91" i="1"/>
  <c r="X356" i="1"/>
  <c r="X376" i="1"/>
  <c r="X449" i="1"/>
  <c r="X454" i="1"/>
  <c r="X23" i="1"/>
  <c r="X34" i="1"/>
  <c r="X41" i="1"/>
  <c r="X47" i="1"/>
  <c r="X59" i="1"/>
  <c r="X74" i="1"/>
  <c r="X101" i="1"/>
  <c r="X103" i="1"/>
  <c r="X105" i="1"/>
  <c r="X111" i="1"/>
  <c r="X123" i="1"/>
  <c r="X129" i="1"/>
  <c r="X130" i="1"/>
  <c r="X132" i="1"/>
  <c r="X133" i="1"/>
  <c r="X142" i="1"/>
  <c r="X146" i="1"/>
  <c r="X161" i="1"/>
  <c r="X193" i="1"/>
  <c r="X205" i="1"/>
  <c r="X213" i="1"/>
  <c r="X235" i="1"/>
  <c r="X250" i="1"/>
  <c r="X270" i="1"/>
  <c r="X272" i="1"/>
  <c r="X286" i="1"/>
  <c r="X288" i="1"/>
  <c r="X291" i="1"/>
  <c r="X294" i="1"/>
  <c r="X298" i="1"/>
  <c r="X326" i="1"/>
  <c r="X335" i="1"/>
  <c r="X343" i="1"/>
  <c r="X353" i="1"/>
  <c r="X355" i="1"/>
  <c r="X360" i="1"/>
  <c r="X378" i="1"/>
  <c r="X390" i="1"/>
  <c r="X412" i="1"/>
  <c r="X413" i="1"/>
  <c r="X414" i="1"/>
  <c r="X417" i="1"/>
  <c r="X418" i="1"/>
  <c r="X424" i="1"/>
  <c r="X448" i="1"/>
  <c r="X451" i="1"/>
  <c r="X493" i="1"/>
  <c r="X218" i="1"/>
  <c r="X249" i="1"/>
  <c r="X299" i="1"/>
  <c r="X338" i="1"/>
  <c r="X436" i="1"/>
  <c r="W4" i="1"/>
  <c r="W6" i="1"/>
  <c r="W7" i="1"/>
  <c r="W11" i="1"/>
  <c r="W14" i="1"/>
  <c r="W23" i="1"/>
  <c r="W30" i="1"/>
  <c r="W32" i="1"/>
  <c r="W34" i="1"/>
  <c r="W36" i="1"/>
  <c r="W41" i="1"/>
  <c r="W46" i="1"/>
  <c r="W47" i="1"/>
  <c r="W53" i="1"/>
  <c r="W54" i="1"/>
  <c r="W59" i="1"/>
  <c r="W60" i="1"/>
  <c r="W66" i="1"/>
  <c r="W70" i="1"/>
  <c r="W74" i="1"/>
  <c r="W82" i="1"/>
  <c r="W83" i="1"/>
  <c r="W101" i="1"/>
  <c r="W103" i="1"/>
  <c r="W105" i="1"/>
  <c r="W111" i="1"/>
  <c r="W112" i="1"/>
  <c r="W123" i="1"/>
  <c r="W129" i="1"/>
  <c r="W130" i="1"/>
  <c r="W131" i="1"/>
  <c r="W132" i="1"/>
  <c r="W133" i="1"/>
  <c r="W134" i="1"/>
  <c r="W142" i="1"/>
  <c r="W145" i="1"/>
  <c r="W146" i="1"/>
  <c r="W160" i="1"/>
  <c r="W161" i="1"/>
  <c r="W166" i="1"/>
  <c r="W168" i="1"/>
  <c r="W170" i="1"/>
  <c r="W177" i="1"/>
  <c r="W187" i="1"/>
  <c r="W193" i="1"/>
  <c r="W197" i="1"/>
  <c r="W205" i="1"/>
  <c r="W213" i="1"/>
  <c r="W215" i="1"/>
  <c r="W222" i="1"/>
  <c r="W224" i="1"/>
  <c r="W225" i="1"/>
  <c r="W226" i="1"/>
  <c r="W235" i="1"/>
  <c r="W237" i="1"/>
  <c r="W250" i="1"/>
  <c r="W253" i="1"/>
  <c r="W265" i="1"/>
  <c r="W268" i="1"/>
  <c r="W270" i="1"/>
  <c r="W271" i="1"/>
  <c r="W272" i="1"/>
  <c r="W280" i="1"/>
  <c r="W282" i="1"/>
  <c r="W283" i="1"/>
  <c r="W286" i="1"/>
  <c r="W288" i="1"/>
  <c r="W291" i="1"/>
  <c r="W293" i="1"/>
  <c r="W294" i="1"/>
  <c r="W295" i="1"/>
  <c r="W297" i="1"/>
  <c r="W298" i="1"/>
  <c r="W324" i="1"/>
  <c r="W326" i="1"/>
  <c r="W329" i="1"/>
  <c r="W334" i="1"/>
  <c r="W335" i="1"/>
  <c r="W336" i="1"/>
  <c r="W337" i="1"/>
  <c r="W343" i="1"/>
  <c r="W348" i="1"/>
  <c r="W353" i="1"/>
  <c r="W355" i="1"/>
  <c r="W360" i="1"/>
  <c r="W363" i="1"/>
  <c r="W378" i="1"/>
  <c r="W381" i="1"/>
  <c r="W383" i="1"/>
  <c r="W384" i="1"/>
  <c r="W385" i="1"/>
  <c r="W387" i="1"/>
  <c r="W390" i="1"/>
  <c r="W410" i="1"/>
  <c r="W412" i="1"/>
  <c r="W413" i="1"/>
  <c r="W414" i="1"/>
  <c r="W417" i="1"/>
  <c r="W418" i="1"/>
  <c r="W424" i="1"/>
  <c r="W434" i="1"/>
  <c r="W437" i="1"/>
  <c r="W438" i="1"/>
  <c r="W440" i="1"/>
  <c r="W442" i="1"/>
  <c r="W448" i="1"/>
  <c r="W451" i="1"/>
  <c r="W455" i="1"/>
  <c r="W487" i="1"/>
  <c r="W491" i="1"/>
  <c r="W493" i="1"/>
  <c r="W495" i="1"/>
  <c r="W496" i="1"/>
  <c r="W45" i="1"/>
  <c r="W62" i="1"/>
  <c r="W107" i="1"/>
  <c r="W137" i="1"/>
  <c r="W143" i="1"/>
  <c r="W176" i="1"/>
  <c r="W178" i="1"/>
  <c r="W218" i="1"/>
  <c r="W249" i="1"/>
  <c r="W274" i="1"/>
  <c r="W290" i="1"/>
  <c r="W299" i="1"/>
  <c r="W338" i="1"/>
  <c r="W436" i="1"/>
  <c r="W463" i="1"/>
  <c r="W3" i="1"/>
  <c r="W10" i="1"/>
  <c r="W12" i="1"/>
  <c r="W19" i="1"/>
  <c r="W24" i="1"/>
  <c r="W33" i="1"/>
  <c r="W38" i="1"/>
  <c r="W39" i="1"/>
  <c r="W55" i="1"/>
  <c r="W57" i="1"/>
  <c r="W71" i="1"/>
  <c r="W84" i="1"/>
  <c r="W86" i="1"/>
  <c r="W92" i="1"/>
  <c r="W94" i="1"/>
  <c r="W95" i="1"/>
  <c r="W100" i="1"/>
  <c r="W109" i="1"/>
  <c r="W135" i="1"/>
  <c r="W141" i="1"/>
  <c r="W154" i="1"/>
  <c r="W175" i="1"/>
  <c r="W188" i="1"/>
  <c r="W191" i="1"/>
  <c r="W198" i="1"/>
  <c r="W201" i="1"/>
  <c r="W204" i="1"/>
  <c r="W209" i="1"/>
  <c r="W212" i="1"/>
  <c r="W219" i="1"/>
  <c r="W220" i="1"/>
  <c r="W246" i="1"/>
  <c r="W254" i="1"/>
  <c r="W261" i="1"/>
  <c r="W262" i="1"/>
  <c r="W266" i="1"/>
  <c r="W269" i="1"/>
  <c r="W306" i="1"/>
  <c r="W323" i="1"/>
  <c r="W325" i="1"/>
  <c r="W342" i="1"/>
  <c r="W345" i="1"/>
  <c r="W357" i="1"/>
  <c r="W358" i="1"/>
  <c r="W379" i="1"/>
  <c r="W396" i="1"/>
  <c r="W428" i="1"/>
  <c r="W444" i="1"/>
  <c r="W457" i="1"/>
  <c r="W460" i="1"/>
  <c r="W492" i="1"/>
  <c r="W9" i="1"/>
  <c r="W42" i="1"/>
  <c r="W79" i="1"/>
  <c r="W85" i="1"/>
  <c r="W96" i="1"/>
  <c r="W136" i="1"/>
  <c r="W147" i="1"/>
  <c r="W153" i="1"/>
  <c r="W157" i="1"/>
  <c r="W165" i="1"/>
  <c r="W186" i="1"/>
  <c r="W190" i="1"/>
  <c r="W200" i="1"/>
  <c r="W228" i="1"/>
  <c r="W230" i="1"/>
  <c r="W273" i="1"/>
  <c r="W307" i="1"/>
  <c r="W346" i="1"/>
  <c r="W356" i="1"/>
  <c r="W411" i="1"/>
  <c r="W420" i="1"/>
  <c r="W423" i="1"/>
  <c r="W430" i="1"/>
  <c r="W441" i="1"/>
  <c r="W446" i="1"/>
  <c r="W454" i="1"/>
  <c r="W292" i="1"/>
  <c r="W2" i="1"/>
  <c r="W91" i="1"/>
  <c r="W376" i="1"/>
  <c r="W449" i="1"/>
  <c r="W102" i="1"/>
  <c r="W256" i="1"/>
  <c r="W148" i="1"/>
  <c r="Y436" i="1" l="1"/>
  <c r="Y338" i="1"/>
  <c r="Y299" i="1"/>
  <c r="Y249" i="1"/>
  <c r="Y218" i="1"/>
  <c r="Y493" i="1"/>
  <c r="Y451" i="1"/>
  <c r="Y448" i="1"/>
  <c r="Y424" i="1"/>
  <c r="Y418" i="1"/>
  <c r="Y417" i="1"/>
  <c r="Y414" i="1"/>
  <c r="Y413" i="1"/>
  <c r="Y412" i="1"/>
  <c r="Y390" i="1"/>
  <c r="Y378" i="1"/>
  <c r="Y360" i="1"/>
  <c r="Y355" i="1"/>
  <c r="Y353" i="1"/>
  <c r="Y343" i="1"/>
  <c r="Y335" i="1"/>
  <c r="Y326" i="1"/>
  <c r="Y298" i="1"/>
  <c r="Y294" i="1"/>
  <c r="Y291" i="1"/>
  <c r="Y288" i="1"/>
  <c r="Y286" i="1"/>
  <c r="Y272" i="1"/>
  <c r="Y270" i="1"/>
  <c r="Y250" i="1"/>
  <c r="Y235" i="1"/>
  <c r="Y213" i="1"/>
  <c r="Y205" i="1"/>
  <c r="Y193" i="1"/>
  <c r="Y161" i="1"/>
  <c r="Y146" i="1"/>
  <c r="Y142" i="1"/>
  <c r="Y133" i="1"/>
  <c r="Y132" i="1"/>
  <c r="Y130" i="1"/>
  <c r="Y129" i="1"/>
  <c r="Y123" i="1"/>
  <c r="Y111" i="1"/>
  <c r="Y105" i="1"/>
  <c r="Y103" i="1"/>
  <c r="Y101" i="1"/>
  <c r="Y74" i="1"/>
  <c r="Y59" i="1"/>
  <c r="Y47" i="1"/>
  <c r="Y41" i="1"/>
  <c r="Y34" i="1"/>
  <c r="Y23" i="1"/>
  <c r="Y454" i="1"/>
  <c r="Y449" i="1"/>
  <c r="Y376" i="1"/>
  <c r="Y356" i="1"/>
  <c r="Y91" i="1"/>
  <c r="Y2" i="1"/>
  <c r="Y290" i="1"/>
  <c r="Y274" i="1"/>
  <c r="Y178" i="1"/>
  <c r="Y176" i="1"/>
  <c r="Y143" i="1"/>
  <c r="Y137" i="1"/>
  <c r="Y107" i="1"/>
  <c r="Y62" i="1"/>
  <c r="Y45" i="1"/>
  <c r="Y496" i="1"/>
  <c r="Y495" i="1"/>
  <c r="Y487" i="1"/>
  <c r="Y455" i="1"/>
  <c r="Y442" i="1"/>
  <c r="Y440" i="1"/>
  <c r="Y438" i="1"/>
  <c r="Y434" i="1"/>
  <c r="Y387" i="1"/>
  <c r="Y384" i="1"/>
  <c r="Y383" i="1"/>
  <c r="Y381" i="1"/>
  <c r="Y363" i="1"/>
  <c r="Y348" i="1"/>
  <c r="Y337" i="1"/>
  <c r="Y336" i="1"/>
  <c r="Y334" i="1"/>
  <c r="Y329" i="1"/>
  <c r="Y324" i="1"/>
  <c r="Y295" i="1"/>
  <c r="Y282" i="1"/>
  <c r="Y268" i="1"/>
  <c r="Y265" i="1"/>
  <c r="Y253" i="1"/>
  <c r="Y226" i="1"/>
  <c r="Y225" i="1"/>
  <c r="Y222" i="1"/>
  <c r="Y215" i="1"/>
  <c r="Y197" i="1"/>
  <c r="Y177" i="1"/>
  <c r="Y170" i="1"/>
  <c r="Y168" i="1"/>
  <c r="Y166" i="1"/>
  <c r="Y160" i="1"/>
  <c r="Y134" i="1"/>
  <c r="Y131" i="1"/>
  <c r="Y112" i="1"/>
  <c r="Y83" i="1"/>
  <c r="Y82" i="1"/>
  <c r="Y70" i="1"/>
  <c r="Y66" i="1"/>
  <c r="Y54" i="1"/>
  <c r="Y53" i="1"/>
  <c r="Y46" i="1"/>
  <c r="Y36" i="1"/>
  <c r="Y30" i="1"/>
  <c r="Y14" i="1"/>
  <c r="Y11" i="1"/>
  <c r="Y7" i="1"/>
  <c r="Y6" i="1"/>
  <c r="Y4" i="1"/>
  <c r="Y441" i="1"/>
  <c r="Y430" i="1"/>
  <c r="Y420" i="1"/>
  <c r="Y307" i="1"/>
  <c r="Y292" i="1"/>
  <c r="Y273" i="1"/>
  <c r="Y228" i="1"/>
  <c r="Y200" i="1"/>
  <c r="Y190" i="1"/>
  <c r="Y186" i="1"/>
  <c r="Y153" i="1"/>
  <c r="Y148" i="1"/>
  <c r="Y147" i="1"/>
  <c r="Y136" i="1"/>
  <c r="Y79" i="1"/>
  <c r="Y9" i="1"/>
  <c r="Y283" i="1"/>
  <c r="Y271" i="1"/>
  <c r="Y187" i="1"/>
  <c r="Y492" i="1"/>
  <c r="Y460" i="1"/>
  <c r="Y457" i="1"/>
  <c r="Y444" i="1"/>
  <c r="Y428" i="1"/>
  <c r="Y396" i="1"/>
  <c r="Y379" i="1"/>
  <c r="Y358" i="1"/>
  <c r="Y357" i="1"/>
  <c r="Y345" i="1"/>
  <c r="Y342" i="1"/>
  <c r="Y325" i="1"/>
  <c r="Y323" i="1"/>
  <c r="Y306" i="1"/>
  <c r="Y269" i="1"/>
  <c r="Y266" i="1"/>
  <c r="Y262" i="1"/>
  <c r="Y261" i="1"/>
  <c r="Y254" i="1"/>
  <c r="Y246" i="1"/>
  <c r="Y220" i="1"/>
  <c r="Y219" i="1"/>
  <c r="Y212" i="1"/>
  <c r="Y209" i="1"/>
  <c r="Y204" i="1"/>
  <c r="Y201" i="1"/>
  <c r="Y198" i="1"/>
  <c r="Y191" i="1"/>
  <c r="Y188" i="1"/>
  <c r="Y175" i="1"/>
  <c r="Y154" i="1"/>
  <c r="Y141" i="1"/>
  <c r="Y135" i="1"/>
  <c r="Y109" i="1"/>
  <c r="Y100" i="1"/>
  <c r="Y95" i="1"/>
  <c r="Y94" i="1"/>
  <c r="Y92" i="1"/>
  <c r="Y86" i="1"/>
  <c r="Y84" i="1"/>
  <c r="Y71" i="1"/>
  <c r="Y57" i="1"/>
  <c r="Y55" i="1"/>
  <c r="Y39" i="1"/>
  <c r="Y38" i="1"/>
  <c r="Y33" i="1"/>
  <c r="Y24" i="1"/>
  <c r="Y19" i="1"/>
  <c r="Y12" i="1"/>
  <c r="Y10" i="1"/>
  <c r="Y3" i="1"/>
  <c r="Y256" i="1"/>
  <c r="Y157" i="1"/>
  <c r="Y102" i="1"/>
  <c r="Y96" i="1"/>
  <c r="Y491" i="1"/>
  <c r="Y437" i="1"/>
  <c r="Y410" i="1"/>
  <c r="Y385" i="1"/>
  <c r="Y297" i="1"/>
  <c r="Y293" i="1"/>
  <c r="Y280" i="1"/>
  <c r="Y237" i="1"/>
  <c r="Y224" i="1"/>
  <c r="Y145" i="1"/>
  <c r="Y60" i="1"/>
  <c r="Y32" i="1"/>
  <c r="Y446" i="1"/>
  <c r="Y423" i="1"/>
  <c r="Y411" i="1"/>
  <c r="Y346" i="1"/>
  <c r="Y230" i="1"/>
  <c r="Y165" i="1"/>
  <c r="Y85" i="1"/>
  <c r="Y42" i="1"/>
  <c r="X463" i="1" l="1"/>
  <c r="Y463" i="1"/>
</calcChain>
</file>

<file path=xl/sharedStrings.xml><?xml version="1.0" encoding="utf-8"?>
<sst xmlns="http://schemas.openxmlformats.org/spreadsheetml/2006/main" count="10723" uniqueCount="2253">
  <si>
    <t>Name</t>
  </si>
  <si>
    <t>Ownership</t>
  </si>
  <si>
    <t>Post-Review Decision</t>
  </si>
  <si>
    <t>Actions to Allow Inclusion</t>
  </si>
  <si>
    <t>Source for Storage Data</t>
  </si>
  <si>
    <t>RISE Location ID</t>
  </si>
  <si>
    <t>RISE Parameter ID for Storage Data</t>
  </si>
  <si>
    <t>Source for Capacity</t>
  </si>
  <si>
    <t>Storage and Capacity Label</t>
  </si>
  <si>
    <t>Has Exclusive Flood Control Pool?</t>
  </si>
  <si>
    <t>Exclusive Flood Control Pool Volume</t>
  </si>
  <si>
    <t>Calculated Capacity Value</t>
  </si>
  <si>
    <t>Corrected Capacity Value</t>
  </si>
  <si>
    <t>Capacity Value for Dashboard</t>
  </si>
  <si>
    <t>Reservoir-Specific Notes</t>
  </si>
  <si>
    <t xml:space="preserve">Data Source Notes </t>
  </si>
  <si>
    <t>Total Capacity</t>
  </si>
  <si>
    <t>Active Capacity</t>
  </si>
  <si>
    <t>Live Capacity</t>
  </si>
  <si>
    <t>Preferred Label for Map and Table</t>
  </si>
  <si>
    <t>Preferred Label for PopUp and Modal</t>
  </si>
  <si>
    <t>EAR Project</t>
  </si>
  <si>
    <t>Capacity Available?</t>
  </si>
  <si>
    <t>30 Years of Historical Storage Data Available in RISE?</t>
  </si>
  <si>
    <t>Current Storage Data Available in RISE?</t>
  </si>
  <si>
    <t>In Reservoir Conditions Visualization?</t>
  </si>
  <si>
    <t>EAR OBJECTID</t>
  </si>
  <si>
    <t>EAR Asset Class</t>
  </si>
  <si>
    <t>EAR Asset Name</t>
  </si>
  <si>
    <t>Reservoir/Lake/Pool Name Simplified</t>
  </si>
  <si>
    <t>EAR Asset Type</t>
  </si>
  <si>
    <t>EAR Dam Facility Name</t>
  </si>
  <si>
    <t>EAR Interior Region</t>
  </si>
  <si>
    <t>EAR Managing Region</t>
  </si>
  <si>
    <t>EAR Reservoir Function</t>
  </si>
  <si>
    <t>EAR Total Capacity</t>
  </si>
  <si>
    <t>Longitude</t>
  </si>
  <si>
    <t>Latitude</t>
  </si>
  <si>
    <t>RISE Location Name</t>
  </si>
  <si>
    <t>RISE Region</t>
  </si>
  <si>
    <t>RISE Reservoir Name</t>
  </si>
  <si>
    <t>RISE Dam Name</t>
  </si>
  <si>
    <t>Has Storage in RISE?</t>
  </si>
  <si>
    <t>RISE Storage Start Date</t>
  </si>
  <si>
    <t>RISE Storage End Date</t>
  </si>
  <si>
    <t>RISE Number of Results</t>
  </si>
  <si>
    <t>Start Date Before 10/1/1990?</t>
  </si>
  <si>
    <t>End Date After 9/30/2020?</t>
  </si>
  <si>
    <t>Has  Storage for Full Averaging Period?</t>
  </si>
  <si>
    <t>Notes</t>
  </si>
  <si>
    <t>Abiquiu</t>
  </si>
  <si>
    <t>USACE</t>
  </si>
  <si>
    <t>Include if possible</t>
  </si>
  <si>
    <t>Use USACE data</t>
  </si>
  <si>
    <t>USACE https://water.usace.army.mil/overview/spa/locations/abiquiu</t>
  </si>
  <si>
    <t>N/A</t>
  </si>
  <si>
    <t>USACE https://w3.spa.usace.army.mil/wc/PertinentData/ Top of Reservoir Volume in Acre-Feet</t>
  </si>
  <si>
    <t>Total</t>
  </si>
  <si>
    <t>Daily data available in HDB and capacity data available here: https://w3.spa.usace.army.mil/wc/PertinentData/, https://water.usace.army.mil/overview/spa/locations/abiquiu</t>
  </si>
  <si>
    <t> </t>
  </si>
  <si>
    <t>Abiquiu Reservoir (Abiquiu Dam)</t>
  </si>
  <si>
    <t>--</t>
  </si>
  <si>
    <t>Abiquiu Lake</t>
  </si>
  <si>
    <t>Upper Colorado Basin</t>
  </si>
  <si>
    <t>Y</t>
  </si>
  <si>
    <t>OK</t>
  </si>
  <si>
    <t>!</t>
  </si>
  <si>
    <t>Agate</t>
  </si>
  <si>
    <t>Reclamation</t>
  </si>
  <si>
    <t>Include (Omit % Avg if needed)</t>
  </si>
  <si>
    <t>RISE</t>
  </si>
  <si>
    <t>Active</t>
  </si>
  <si>
    <t>No</t>
  </si>
  <si>
    <t>Agate Reservoir (Agate Dam)</t>
  </si>
  <si>
    <t>0415-Rogue River Basin Project-Talent Division</t>
  </si>
  <si>
    <t>Unknown</t>
  </si>
  <si>
    <t>Reservoirs</t>
  </si>
  <si>
    <t>Agate Reservoir</t>
  </si>
  <si>
    <t>Reservoir</t>
  </si>
  <si>
    <t>Agate Dam</t>
  </si>
  <si>
    <t>9-Columbia-Pacific Northwest</t>
  </si>
  <si>
    <t>CPN</t>
  </si>
  <si>
    <t>Offstream Storage</t>
  </si>
  <si>
    <t>Agate Reservoir and Dam (AGA)</t>
  </si>
  <si>
    <t>Columbia-Pacific Northwest</t>
  </si>
  <si>
    <t>Alcova</t>
  </si>
  <si>
    <t>Include</t>
  </si>
  <si>
    <t>Alcova Reservoir (Alcova Dam)</t>
  </si>
  <si>
    <t>0144-Kendrick Project</t>
  </si>
  <si>
    <t>Alcova Reservoir</t>
  </si>
  <si>
    <t>Alcova Dam</t>
  </si>
  <si>
    <t>7-Upper Colorado Basin</t>
  </si>
  <si>
    <t>MB/ART</t>
  </si>
  <si>
    <t>Instream Storage</t>
  </si>
  <si>
    <t>Alcova Reservoir Dam and Powerplant</t>
  </si>
  <si>
    <t>Missouri Basin</t>
  </si>
  <si>
    <t>Alfalfa Ditch Diversion Dam</t>
  </si>
  <si>
    <t>Do Not Include</t>
  </si>
  <si>
    <t xml:space="preserve">  </t>
  </si>
  <si>
    <t>0270-Fruitgrowers Dam Project</t>
  </si>
  <si>
    <t>Alfalfa Ditch Diversion Dam Pool</t>
  </si>
  <si>
    <t>Pool</t>
  </si>
  <si>
    <t>UCB</t>
  </si>
  <si>
    <t>Instream Diversion (created by a diversion dam)</t>
  </si>
  <si>
    <t>Alice</t>
  </si>
  <si>
    <t>Lake Alice</t>
  </si>
  <si>
    <t>Lake Alice (Lake Alice Dams)</t>
  </si>
  <si>
    <t>0020-North Platte Project</t>
  </si>
  <si>
    <t>Lake Alice Dams</t>
  </si>
  <si>
    <t>5-Missouri Basin</t>
  </si>
  <si>
    <t>Conveyance (used for water conveyance)</t>
  </si>
  <si>
    <t>Lake Alice and Dams</t>
  </si>
  <si>
    <t>Alice 2</t>
  </si>
  <si>
    <t>Little Lake Alice</t>
  </si>
  <si>
    <t>Little Lake Alice (Little Lake Alice Dam)</t>
  </si>
  <si>
    <t>Lake Alice 2</t>
  </si>
  <si>
    <t>Lake Alice Dam 2</t>
  </si>
  <si>
    <t>Little Lake Alice Reservoir</t>
  </si>
  <si>
    <t>RISE Location is Little Lake Alice Reservoir</t>
  </si>
  <si>
    <t>Almena Diversion</t>
  </si>
  <si>
    <t>GP Hydromet - ALKS (no storage, gage height only)</t>
  </si>
  <si>
    <t>0492-Pick-Sloan Missouri Basin Program-Kanaska Division-Almena Unit</t>
  </si>
  <si>
    <t>Almena Diversion Pool</t>
  </si>
  <si>
    <t>Almena Diversion Dam</t>
  </si>
  <si>
    <t>Altus</t>
  </si>
  <si>
    <t>Add Storage Data to RISE</t>
  </si>
  <si>
    <t>RISE (Pending)</t>
  </si>
  <si>
    <t>Yes</t>
  </si>
  <si>
    <t>GP Hydromet - ALTUS (has storage)</t>
  </si>
  <si>
    <t>Lake Altus (Altus Dam)</t>
  </si>
  <si>
    <t>0258-W.C. Austin Project</t>
  </si>
  <si>
    <t>Lake Altus</t>
  </si>
  <si>
    <t>Altus Dam</t>
  </si>
  <si>
    <t>6-Arkansas-Rio Grande-Texas Gulf</t>
  </si>
  <si>
    <t>Lake Altus and Altus Dam</t>
  </si>
  <si>
    <t>Arkansas-Rio Grande-Texas-Gulf</t>
  </si>
  <si>
    <t>N</t>
  </si>
  <si>
    <t>American Falls</t>
  </si>
  <si>
    <t>American Falls Reservoir (American Falls Dam)</t>
  </si>
  <si>
    <t>0017-Minidoka Project</t>
  </si>
  <si>
    <t>American Falls Reservoir</t>
  </si>
  <si>
    <t>American Falls Dam</t>
  </si>
  <si>
    <t>American Falls Reservoir and Dam (AMF)</t>
  </si>
  <si>
    <t>Anchor</t>
  </si>
  <si>
    <t>Anchor Reservoir (Anchor Dam)</t>
  </si>
  <si>
    <t>0339-Pick-Sloan Missouri Basin Program-Bighorn Basin Division-Owl Creek Unit</t>
  </si>
  <si>
    <t>Anchor Reservoir</t>
  </si>
  <si>
    <t>Anchor Dam</t>
  </si>
  <si>
    <t>Anchor Reservoir and Dam</t>
  </si>
  <si>
    <t>Anderson Ranch</t>
  </si>
  <si>
    <t>Anderson Ranch Reservoir (Anderson Ranch Dam)</t>
  </si>
  <si>
    <t>0004-Boise Project-Arrowrock Division</t>
  </si>
  <si>
    <t>Anderson Ranch Reservoir</t>
  </si>
  <si>
    <t>Anderson Ranch Dam</t>
  </si>
  <si>
    <t>Anderson Ranch Reservoir, Dam, and Powerplant (AND)</t>
  </si>
  <si>
    <t>Anderson-Rose Diversion</t>
  </si>
  <si>
    <t>0012-Klamath Project</t>
  </si>
  <si>
    <t>Anderson-Rose Diversion Reservoir</t>
  </si>
  <si>
    <t>Anderson-Rose Diversion Dam</t>
  </si>
  <si>
    <t>10-California-Great Basin</t>
  </si>
  <si>
    <t>CGB</t>
  </si>
  <si>
    <t>Angostura</t>
  </si>
  <si>
    <t>Angostura Reservoir (Angostura Dam)</t>
  </si>
  <si>
    <t>0454-Pick-Sloan Missouri Basin Program-Cheyenne Division-Angostura Unit</t>
  </si>
  <si>
    <t>Angostura Reservoir</t>
  </si>
  <si>
    <t>Angostura Dam</t>
  </si>
  <si>
    <t>Angostura Reservoir and Dam</t>
  </si>
  <si>
    <t>Angostura Diversion</t>
  </si>
  <si>
    <t>0163-Middle Rio Grande Project</t>
  </si>
  <si>
    <t>Angostura Diversion Pool</t>
  </si>
  <si>
    <t>Angostura Diversion Dam</t>
  </si>
  <si>
    <t>Anita</t>
  </si>
  <si>
    <t>0011-Huntley Project</t>
  </si>
  <si>
    <t>Anita Reservoir</t>
  </si>
  <si>
    <t>Anita Dam</t>
  </si>
  <si>
    <t>Apache</t>
  </si>
  <si>
    <t>0025-Salt River Project</t>
  </si>
  <si>
    <t>Apache Lake</t>
  </si>
  <si>
    <t>Horse Mesa Dam</t>
  </si>
  <si>
    <t>8-Lower Colorado Basin</t>
  </si>
  <si>
    <t>LCB</t>
  </si>
  <si>
    <t>Arrowhead</t>
  </si>
  <si>
    <t>Lake Arrowhead and Dam</t>
  </si>
  <si>
    <t>Lower Colorado Basin</t>
  </si>
  <si>
    <t>Arrowrock</t>
  </si>
  <si>
    <t>Arrowrock Reservoir (Arrowrock Dam)</t>
  </si>
  <si>
    <t>Arrowrock Reservoir</t>
  </si>
  <si>
    <t>Arrowrock Dam</t>
  </si>
  <si>
    <t>Arrowrock Reservoir and Dam (ARK)</t>
  </si>
  <si>
    <t>Ashland Lateral Diversion</t>
  </si>
  <si>
    <t>Ashland Lateral Diversion Pool</t>
  </si>
  <si>
    <t>Ashland Lateral Diversion Dam</t>
  </si>
  <si>
    <t>Atkinson Diversion Dam</t>
  </si>
  <si>
    <t>0482-Collbran Project</t>
  </si>
  <si>
    <t>Atkinson Diversion Dam Pool</t>
  </si>
  <si>
    <t>Audobon</t>
  </si>
  <si>
    <t>Audubon Lake North Dakota</t>
  </si>
  <si>
    <t>Audubon</t>
  </si>
  <si>
    <t>Avalon</t>
  </si>
  <si>
    <t>Avalon Reservoir (Avalon Dam)</t>
  </si>
  <si>
    <t>0005-Carlsbad Project</t>
  </si>
  <si>
    <t>Avalon Reservoir</t>
  </si>
  <si>
    <t>Avalon Dam</t>
  </si>
  <si>
    <t>Avalon Reservoir and Dam</t>
  </si>
  <si>
    <t>Banks</t>
  </si>
  <si>
    <t>Banks Lake (Dry Falls Dam)</t>
  </si>
  <si>
    <t>0222-Columbia Basin Project-Gravity Division</t>
  </si>
  <si>
    <t>Banks Lake</t>
  </si>
  <si>
    <t>Dry Falls Dam</t>
  </si>
  <si>
    <t>Banks Lake and Dry Falls Dam (BNK)</t>
  </si>
  <si>
    <t>Dry Falls</t>
  </si>
  <si>
    <t>Barretts Diversion</t>
  </si>
  <si>
    <t>0699-Pick-Sloan Missouri Basin Program-Three Forks Division-East Bench Unit</t>
  </si>
  <si>
    <t>Barretts Diversion Reservoir</t>
  </si>
  <si>
    <t>Barretts Diversion Dam</t>
  </si>
  <si>
    <t>Bartlett</t>
  </si>
  <si>
    <t>Bartlett Reservoir</t>
  </si>
  <si>
    <t>Bartlett Dam</t>
  </si>
  <si>
    <t>Bartley Diversion</t>
  </si>
  <si>
    <t>GP Hydromet - BANE (canal gage, no storage, gage height only)</t>
  </si>
  <si>
    <t>0328-Pick-Sloan Missouri Basin Program-Frenchman-Cambridge Division</t>
  </si>
  <si>
    <t>Bartley Diversion Pool</t>
  </si>
  <si>
    <t>Bartley Diversion Dam</t>
  </si>
  <si>
    <t>Beaver Creek Diversion</t>
  </si>
  <si>
    <t>0244-Provo River Project</t>
  </si>
  <si>
    <t>Beaver Creek Diversion Pool</t>
  </si>
  <si>
    <t>Beaver Creek Diversion Dam</t>
  </si>
  <si>
    <t>Beaver Dam Creek Diversion</t>
  </si>
  <si>
    <t>Beaver Dam Creek Diversion Pool</t>
  </si>
  <si>
    <t>Beaver Dam Creek Diversion Dam</t>
  </si>
  <si>
    <t>Belle Fourche</t>
  </si>
  <si>
    <t>Belle Fourche Reservoir (Belle Fourche Dam)</t>
  </si>
  <si>
    <t>1459-Pick-Sloan Missouri Basin Program-Cheyenne Division-Belle Fourche Unit</t>
  </si>
  <si>
    <t>Belle Fourche Reservoir</t>
  </si>
  <si>
    <t>Belle Fourche Dam</t>
  </si>
  <si>
    <t>Belle Fourche Reservoir and Dam</t>
  </si>
  <si>
    <t>Belle Fourche Diversion</t>
  </si>
  <si>
    <t>Belle Fourche Diversion Reservoir</t>
  </si>
  <si>
    <t>Belle Fourche Diversion Dam</t>
  </si>
  <si>
    <t>Berryessa</t>
  </si>
  <si>
    <t>Berryessa (Monticello Dam)</t>
  </si>
  <si>
    <t>Lake Berryessa (Monticello Dam)</t>
  </si>
  <si>
    <t>0413-Solano Project</t>
  </si>
  <si>
    <t>Lake Berryessa</t>
  </si>
  <si>
    <t>Monticello Dam</t>
  </si>
  <si>
    <t>Lake Berryessa and Monticello Dam</t>
  </si>
  <si>
    <t>California-Great Basin</t>
  </si>
  <si>
    <t>Monticello</t>
  </si>
  <si>
    <t>Beulah</t>
  </si>
  <si>
    <t>Beulah (Agency Valley Dam)</t>
  </si>
  <si>
    <t>Beulah Reservoir (Agency Valley Dam)</t>
  </si>
  <si>
    <t>0126-Vale Project</t>
  </si>
  <si>
    <t>Beulah Reservoir</t>
  </si>
  <si>
    <t>Agency Valley Dam</t>
  </si>
  <si>
    <t>Beulah Reservoir and Agency Valley Dam (BEU)</t>
  </si>
  <si>
    <t>Agency Valley</t>
  </si>
  <si>
    <t>Big Sandy</t>
  </si>
  <si>
    <t>Live</t>
  </si>
  <si>
    <t>Big Sandy Reservoir (Big Sandy Dam)</t>
  </si>
  <si>
    <t>0153-Eden Project</t>
  </si>
  <si>
    <t>Big Sandy Reservoir</t>
  </si>
  <si>
    <t>Big Sandy Dam</t>
  </si>
  <si>
    <t>Big Sandy Reservoir and Dam</t>
  </si>
  <si>
    <t>Big Thompson Diversion</t>
  </si>
  <si>
    <t>0245-Colorado-Big Thompson Project</t>
  </si>
  <si>
    <t>Big Thompson Diversion Pool</t>
  </si>
  <si>
    <t>Big Thompson Diversion Dam</t>
  </si>
  <si>
    <t>Bighorn</t>
  </si>
  <si>
    <t>Bighorn (Yellowtail Dam)</t>
  </si>
  <si>
    <t>Bighorn Lake (Yellowtail Dam)</t>
  </si>
  <si>
    <t>0459-Pick-Sloan Missouri Basin Program-Lower Bighorn Division-Yellowtail Unit</t>
  </si>
  <si>
    <t>Bighorn Lake</t>
  </si>
  <si>
    <t>Yellowtail Dam</t>
  </si>
  <si>
    <t>Bighorn Lake Yellowtail Dam and Powerplant</t>
  </si>
  <si>
    <t>Bighorn River and BIA Canal near St. Xavier</t>
  </si>
  <si>
    <t/>
  </si>
  <si>
    <t>Billy Clapp</t>
  </si>
  <si>
    <t>Billy Clapp (Pinto Dam)</t>
  </si>
  <si>
    <t>Billy Clapp Lake (Pinto Dam)</t>
  </si>
  <si>
    <t>Billy Clapp Lake</t>
  </si>
  <si>
    <t>Pinto Dam</t>
  </si>
  <si>
    <t>Billy Clapp Lake and Pinto Dam (BCP)</t>
  </si>
  <si>
    <t>Pinto</t>
  </si>
  <si>
    <t>Black Canyon</t>
  </si>
  <si>
    <t>TBD</t>
  </si>
  <si>
    <t xml:space="preserve"> -   </t>
  </si>
  <si>
    <t>Black Canyon (Black Canyon Diversion Dam)</t>
  </si>
  <si>
    <t>Black Canyon Reservoir (Black Canyon Diversion Dam)</t>
  </si>
  <si>
    <t>0003-Boise Project-Payette Division</t>
  </si>
  <si>
    <t>Black Canyon Reservoir</t>
  </si>
  <si>
    <t>Black Canyon Diversion Dam</t>
  </si>
  <si>
    <t>Black Canyon Reservoir, Diversion Dam, and Powerplant (EMM)</t>
  </si>
  <si>
    <t>Blanco Diversion</t>
  </si>
  <si>
    <t>0465-San Juan-Chama Project</t>
  </si>
  <si>
    <t>Blanco Diversion Pool</t>
  </si>
  <si>
    <t>Blanco Diversion Dam</t>
  </si>
  <si>
    <t>Blue Mesa</t>
  </si>
  <si>
    <t>Blue Mesa Reservoir (Blue Mesa Dam)</t>
  </si>
  <si>
    <t>0622-Colorado River Storage Project-Gunnison Division-Wayne M. Aspinall Unit</t>
  </si>
  <si>
    <t>Blue Mesa Reservoir</t>
  </si>
  <si>
    <t>Blue Mesa Dam</t>
  </si>
  <si>
    <t>Blue Mesa Reservoir Dam and Powerplant</t>
  </si>
  <si>
    <t>Boca</t>
  </si>
  <si>
    <t>Use USGS Data</t>
  </si>
  <si>
    <t>USGS Boca Res NR Truckee CA - USGS-10344490</t>
  </si>
  <si>
    <t>Boca Res NR Truckee CA - USGS-10344490 and https://www.troa.net/tis</t>
  </si>
  <si>
    <t>Boca Reservoir (Boca Dam)</t>
  </si>
  <si>
    <t>0247-Truckee Storage Project</t>
  </si>
  <si>
    <t>Boca Reservoir</t>
  </si>
  <si>
    <t>Boca Dam</t>
  </si>
  <si>
    <t>Boise River Diversion</t>
  </si>
  <si>
    <t>Boise River Diversion Reservoir</t>
  </si>
  <si>
    <t>Boise River Diversion Dam</t>
  </si>
  <si>
    <t>Bonny</t>
  </si>
  <si>
    <t>Add Storage Data to RISE? Don't include in Dashboard</t>
  </si>
  <si>
    <t>GP Hydromet - BONC (has storage). Was drained in 2010, so doesn't have current data</t>
  </si>
  <si>
    <t>0331-Pick-Sloan Missouri Basin Program-Upper Republican Division-Armel Unit</t>
  </si>
  <si>
    <t>Bonny Reservoir</t>
  </si>
  <si>
    <t>Bonny Dam</t>
  </si>
  <si>
    <t>Bonny Reservoir and Dam</t>
  </si>
  <si>
    <t>Box Butte</t>
  </si>
  <si>
    <t>Include (Omit % Avg)</t>
  </si>
  <si>
    <t>GP Hydromet - BBNE</t>
  </si>
  <si>
    <t>Box Butte Reservoir (Box Butte Dam)</t>
  </si>
  <si>
    <t>0278-Mirage Flats Project</t>
  </si>
  <si>
    <t>Box Butte Reservoir</t>
  </si>
  <si>
    <t>Box Butte Dam</t>
  </si>
  <si>
    <t>Box Butte Reservoir and Dam</t>
  </si>
  <si>
    <t>Boysen</t>
  </si>
  <si>
    <t>Boysen Reservoir (Boysen Dam)</t>
  </si>
  <si>
    <t>0285-Pick-Sloan Missouri Basin Program-Boysen Division-Boysen Unit</t>
  </si>
  <si>
    <t>Boysen Reservoir</t>
  </si>
  <si>
    <t>Boysen Dam</t>
  </si>
  <si>
    <t>Boysen Reservoir Dam and Powerplant</t>
  </si>
  <si>
    <t>Brantley</t>
  </si>
  <si>
    <t>Brantley Reservoir (Brantley Dam)</t>
  </si>
  <si>
    <t>0963-Brantley Project</t>
  </si>
  <si>
    <t>Brantley Reservoir</t>
  </si>
  <si>
    <t>Brantley Dam</t>
  </si>
  <si>
    <t>Brantley Reservoir and Dam</t>
  </si>
  <si>
    <t>Brekken</t>
  </si>
  <si>
    <t>0769-Pick-Sloan Missouri Basin Program-Garrison Division-Garrison Diversion Unit</t>
  </si>
  <si>
    <t>Lake Brekken</t>
  </si>
  <si>
    <t>Lake</t>
  </si>
  <si>
    <t>No Dam Facility</t>
  </si>
  <si>
    <t>Bretch Diversion</t>
  </si>
  <si>
    <t>0827-Mountain Park Project</t>
  </si>
  <si>
    <t>Bretch Diversion Pool</t>
  </si>
  <si>
    <t>Bretch Diversion Dam</t>
  </si>
  <si>
    <t>Broadhead Diversion</t>
  </si>
  <si>
    <t>Broadhead Diversion Pool</t>
  </si>
  <si>
    <t>Broadhead Diversion Dam</t>
  </si>
  <si>
    <t>Brown Foundation Incorporated</t>
  </si>
  <si>
    <t>0763-Norman Project</t>
  </si>
  <si>
    <t>Brown Foundation Incorporated Reservoir</t>
  </si>
  <si>
    <t>Brown Foundation Incorporated Dam</t>
  </si>
  <si>
    <t>Detention (typically dry or nearly dry except in flood situations)</t>
  </si>
  <si>
    <t>Buckhorn</t>
  </si>
  <si>
    <t>0416-Central Valley Project-Trinity River Division</t>
  </si>
  <si>
    <t>Buckhorn Reservoir</t>
  </si>
  <si>
    <t>Buckhorn Dam</t>
  </si>
  <si>
    <t>Buffalo Bill</t>
  </si>
  <si>
    <t>Buffalo Bill Reservoir (Buffalo Bill Dam)</t>
  </si>
  <si>
    <t>0026-Shoshone Project</t>
  </si>
  <si>
    <t>Buffalo Bill Reservoir</t>
  </si>
  <si>
    <t>Buffalo Bill Dam</t>
  </si>
  <si>
    <t>Buffalo Bill Reservoir Dam and Powerplant</t>
  </si>
  <si>
    <t>Bull</t>
  </si>
  <si>
    <t>Bull Lake</t>
  </si>
  <si>
    <t>Bull Lake (Bull Lake Dam)</t>
  </si>
  <si>
    <t>1236-Pick-Sloan Missouri Basin Program-Wind Division-Riverton Unit</t>
  </si>
  <si>
    <t>Bull Lake Dam</t>
  </si>
  <si>
    <t xml:space="preserve">Bull Lake Reservoir and Dam </t>
  </si>
  <si>
    <t>Bull Lake Bull</t>
  </si>
  <si>
    <t>Bully Creek</t>
  </si>
  <si>
    <t>Bully Creek Reservoir (Bully Creek Dam)</t>
  </si>
  <si>
    <t>Bully Creek Reservoir</t>
  </si>
  <si>
    <t>Bully Creek Dam</t>
  </si>
  <si>
    <t>Bully Creek Reservoir and Dam (BUL)</t>
  </si>
  <si>
    <t>Bully Creek Diversion</t>
  </si>
  <si>
    <t>Bully Creek Diversion Pool</t>
  </si>
  <si>
    <t>Bully Creek Diversion Dam</t>
  </si>
  <si>
    <t>Bumping</t>
  </si>
  <si>
    <t>Bumping Lake</t>
  </si>
  <si>
    <t>Bumping Lake (Bumping Lake Dam)</t>
  </si>
  <si>
    <t>0033-Yakima Project</t>
  </si>
  <si>
    <t>Bumping Lake Dam</t>
  </si>
  <si>
    <t>Bumping Lake and Bumping Lake Dam (BUM)</t>
  </si>
  <si>
    <t>C.C. Cragin</t>
  </si>
  <si>
    <t>C.C. Cragin Reservoir</t>
  </si>
  <si>
    <t>C.C. Cragin Dam</t>
  </si>
  <si>
    <t>Caballo</t>
  </si>
  <si>
    <t>Caballo Reservoir (Caballo Dam)</t>
  </si>
  <si>
    <t>0023-Rio Grande Project</t>
  </si>
  <si>
    <t>Caballo Reservoir</t>
  </si>
  <si>
    <t>Caballo Dam</t>
  </si>
  <si>
    <t>Caballo Reservoir and Dam</t>
  </si>
  <si>
    <t>Cachuma</t>
  </si>
  <si>
    <t>Cachuma (Bradbury Dam)</t>
  </si>
  <si>
    <t>Lake Cachuma (Bradbury Dam)</t>
  </si>
  <si>
    <t>0368-Cachuma Project</t>
  </si>
  <si>
    <t>Lake Cachuma</t>
  </si>
  <si>
    <t>Bradbury Dam</t>
  </si>
  <si>
    <t>Cachuma Lake and Bradbury Dam</t>
  </si>
  <si>
    <t>Bradbury</t>
  </si>
  <si>
    <t>Cahuilla</t>
  </si>
  <si>
    <t>0212-Boulder Canyon Project-All-American Canal System Division</t>
  </si>
  <si>
    <t>Lake Cahuilla</t>
  </si>
  <si>
    <t>West Side Detention Dikes</t>
  </si>
  <si>
    <t>Calamus</t>
  </si>
  <si>
    <t>GP Hydromet - CANE</t>
  </si>
  <si>
    <t>Calamus (Virginia Smith Dam)</t>
  </si>
  <si>
    <t>Calamus Reservoir (Virginia Smith Dam)</t>
  </si>
  <si>
    <t>0628-Pick-Sloan Missouri Basin Program-North Loup Division</t>
  </si>
  <si>
    <t>Calamus Reservoir</t>
  </si>
  <si>
    <t>Virginia Smith Dam</t>
  </si>
  <si>
    <t>Calamus Reservoir and Virginia Smith Dam</t>
  </si>
  <si>
    <t>Virginia Smith</t>
  </si>
  <si>
    <t>Cambridge Diversion</t>
  </si>
  <si>
    <t>GP Hydromet - CDNE (canal gage, no storage, gage height only)</t>
  </si>
  <si>
    <t>Cambridge Diversion Pool</t>
  </si>
  <si>
    <t>Cambridge Diversion Dam</t>
  </si>
  <si>
    <t>Cameahwait</t>
  </si>
  <si>
    <t>Lake Cameahwait</t>
  </si>
  <si>
    <t>Lake Cameahwait Dam</t>
  </si>
  <si>
    <t>Canyon</t>
  </si>
  <si>
    <t>Canyon Lake</t>
  </si>
  <si>
    <t>Mormon Flat Dam</t>
  </si>
  <si>
    <t>Canyon Ferry</t>
  </si>
  <si>
    <t>Canyon Ferry Lake (Canyon Ferry Dam)</t>
  </si>
  <si>
    <t>0296-Pick-Sloan Missouri Basin Program-Helena-Great Falls Division-Canyon Ferry Unit</t>
  </si>
  <si>
    <t>Canyon Ferry Lake</t>
  </si>
  <si>
    <t>Canyon Ferry Dam</t>
  </si>
  <si>
    <t>Canyon Ferry Lake Dam Powerplant and Helena Valley Pumping Plant</t>
  </si>
  <si>
    <t>Carpenteria</t>
  </si>
  <si>
    <t>Carpenteria Reservoir</t>
  </si>
  <si>
    <t>Carpinteria Dam</t>
  </si>
  <si>
    <t>Carson River Diversion</t>
  </si>
  <si>
    <t>0029-Newlands Project</t>
  </si>
  <si>
    <t>Carson River Diversion Reservoir</t>
  </si>
  <si>
    <t>Carson River Diversion Dam</t>
  </si>
  <si>
    <t>Carter Creek Diversion</t>
  </si>
  <si>
    <t>0382-Fryingpan-Arkansas Project</t>
  </si>
  <si>
    <t>Carter Creek Diversion Pool</t>
  </si>
  <si>
    <t>Carter Creek Diversion Dam</t>
  </si>
  <si>
    <t>Carter Lake</t>
  </si>
  <si>
    <t>Carter Lake Reservoir (Carter Lake Dams)</t>
  </si>
  <si>
    <t>Carter Lake Reservoir</t>
  </si>
  <si>
    <t>Carter Lake (Dams)</t>
  </si>
  <si>
    <t xml:space="preserve">Carter Lake Reservoir and Dam </t>
  </si>
  <si>
    <t>Carter Lake Carter</t>
  </si>
  <si>
    <t>Cascade</t>
  </si>
  <si>
    <t>Lake Cascade (Cascade Dam)</t>
  </si>
  <si>
    <t>Lake Cascade</t>
  </si>
  <si>
    <t>Cascade Dam</t>
  </si>
  <si>
    <t>Lake Cascade and Cascade Dam (CSC)</t>
  </si>
  <si>
    <t>Cascade Creek Diversion</t>
  </si>
  <si>
    <t>Cascade Creek Diversion Pool</t>
  </si>
  <si>
    <t>Cascade Creek Diversion Dam</t>
  </si>
  <si>
    <t>Casitas</t>
  </si>
  <si>
    <t>0767-Ventura River Project</t>
  </si>
  <si>
    <t>Lake Casitas</t>
  </si>
  <si>
    <t>Casitas Dam</t>
  </si>
  <si>
    <t>Causey</t>
  </si>
  <si>
    <t>Causey Reservoir (Causey Dam)</t>
  </si>
  <si>
    <t>0526-Weber Basin Project</t>
  </si>
  <si>
    <t>Causey Reservoir</t>
  </si>
  <si>
    <t>Causey Dam</t>
  </si>
  <si>
    <t>Causey Reservoir and Dam</t>
  </si>
  <si>
    <t>Cawker City Dike</t>
  </si>
  <si>
    <t>GP Hydromet - CCKS (no storage, forebay elevation only)</t>
  </si>
  <si>
    <t>Cedar Bluff</t>
  </si>
  <si>
    <t>USGS Cedar Bluff RE NR Ellis, KS - USGS-06861500</t>
  </si>
  <si>
    <t>GP Hydromet - CBKS USGS Cedar Bluff RE NR Ellis, KS - USGS-06861500</t>
  </si>
  <si>
    <t>0372-Pick-Sloan Missouri Basin Program-Smoky Hill Division-Cedar Bluff Unit</t>
  </si>
  <si>
    <t>Cedar Bluff Reservoir</t>
  </si>
  <si>
    <t>Cedar Bluff Dam</t>
  </si>
  <si>
    <t>Cedar Bluff Reservoir and Dam</t>
  </si>
  <si>
    <t>Chance</t>
  </si>
  <si>
    <t>Chance Lake</t>
  </si>
  <si>
    <t>Potholes East Canal Dikes</t>
  </si>
  <si>
    <t>Chapman Diversion</t>
  </si>
  <si>
    <t>Chapman Diversion Pool</t>
  </si>
  <si>
    <t>Chapman Diversion Dam</t>
  </si>
  <si>
    <t>Cheney</t>
  </si>
  <si>
    <t>GP Hydromet - CHENEY (has storage)</t>
  </si>
  <si>
    <t>Cheney Reservoir (Cheney Dam)</t>
  </si>
  <si>
    <t>0835-Wichita Project</t>
  </si>
  <si>
    <t>Cheney Reservoir</t>
  </si>
  <si>
    <t>Cheney Dam</t>
  </si>
  <si>
    <t>Cherry</t>
  </si>
  <si>
    <t>Cherry Lake</t>
  </si>
  <si>
    <t>Cherry Lake Wda-3 Dike 3</t>
  </si>
  <si>
    <t>Cherry Creek</t>
  </si>
  <si>
    <t>Cherry Creek Reservoir Study Site for S&amp;T Project 1754</t>
  </si>
  <si>
    <t>Choke Canyon</t>
  </si>
  <si>
    <t>Choke Canyon Reservoir (Choke Canyon Dam)</t>
  </si>
  <si>
    <t>1012-Nueces River Project</t>
  </si>
  <si>
    <t>Choke Canyon Reservoir</t>
  </si>
  <si>
    <t>Choke Canyon Dam</t>
  </si>
  <si>
    <t>Choke Canyon Reservoir and Dam</t>
  </si>
  <si>
    <t>Clark Canyon</t>
  </si>
  <si>
    <t>Clark Canyon Reservoir (Clark Canyon Dam)</t>
  </si>
  <si>
    <t>Clark Canyon Reservoir</t>
  </si>
  <si>
    <t>Clark Canyon Dam</t>
  </si>
  <si>
    <t>Clark Canyon Reservoir and Dam</t>
  </si>
  <si>
    <t>Cle Elum</t>
  </si>
  <si>
    <t>Cle Elum Lake (Cle Elum Dam)</t>
  </si>
  <si>
    <t>Cle Elum Lake</t>
  </si>
  <si>
    <t>Cle Elum Dam</t>
  </si>
  <si>
    <t>Cle Elum Lake and Dam (CLE)</t>
  </si>
  <si>
    <t>Clear Lake</t>
  </si>
  <si>
    <t>storage: Hydromet data https://www.usbr.gov/pn/hydromet/klamath/kinstant_graph.html?cbtt=CLK&amp;pcode=AF, instant only</t>
  </si>
  <si>
    <t>Clear Lake Reservoir (Clear Lake Dam)</t>
  </si>
  <si>
    <t>Clear Lake Reservoir</t>
  </si>
  <si>
    <t>Clear Lake Dam</t>
  </si>
  <si>
    <t>Clear Lake (OR)</t>
  </si>
  <si>
    <t>Clear Lake (Wasco Dam)</t>
  </si>
  <si>
    <t>Clear Lake (OR) (Wasco Dam)</t>
  </si>
  <si>
    <t>0350-Wapinitia Project</t>
  </si>
  <si>
    <t>Wasco Dam</t>
  </si>
  <si>
    <t>Clear Lake and Wasco Dam (WAS)</t>
  </si>
  <si>
    <t>Clear</t>
  </si>
  <si>
    <t>Wasco</t>
  </si>
  <si>
    <t>Clear Lake (WA)</t>
  </si>
  <si>
    <t>No storage data collected, elevation only</t>
  </si>
  <si>
    <t>Clear Creek Dam</t>
  </si>
  <si>
    <t>Clementine</t>
  </si>
  <si>
    <t>Lake Clementine</t>
  </si>
  <si>
    <t>Coal Creek Montrose and Delta Diversion</t>
  </si>
  <si>
    <t>0031-Uncompahgre Project</t>
  </si>
  <si>
    <t>Coal Creek Montrose and Delta Diversion Pool</t>
  </si>
  <si>
    <t>Coal Creek Montrose And Delta Diversion Dam</t>
  </si>
  <si>
    <t>Coal Mine</t>
  </si>
  <si>
    <t>Coal Mine Lake</t>
  </si>
  <si>
    <t>Cochiti</t>
  </si>
  <si>
    <t>USACE https://water.usace.army.mil/overview/spa/locations/cochiti</t>
  </si>
  <si>
    <t>USACE https://w3.spa.usace.army.mil/wc/PertinentData/ Top of Dam Volume in Acre-Feet</t>
  </si>
  <si>
    <t>Daily data available in HDB and capacity data available here: https://w3.spa.usace.army.mil/wc/PertinentData/, https://water.usace.army.mil/overview/spa/locations/cochiti</t>
  </si>
  <si>
    <t>Cochiti Lake (Cochiti Dam)</t>
  </si>
  <si>
    <t>Cochiti Lake</t>
  </si>
  <si>
    <t>Cold Springs</t>
  </si>
  <si>
    <t>Cold Springs Reservoir (Cold Springs Dam)</t>
  </si>
  <si>
    <t>0030-Umatilla Project</t>
  </si>
  <si>
    <t>Cold Springs Reservoir</t>
  </si>
  <si>
    <t>Cold Springs Dam</t>
  </si>
  <si>
    <t>Cold Springs Reservoir and Dam (CLS)</t>
  </si>
  <si>
    <t>Coleman Diversion</t>
  </si>
  <si>
    <t>Coleman Diversion Pool</t>
  </si>
  <si>
    <t>Coleman Diversion Dam</t>
  </si>
  <si>
    <t>Como</t>
  </si>
  <si>
    <t>Lake Como (Como Dam)</t>
  </si>
  <si>
    <t>0226-Bitter Root Project</t>
  </si>
  <si>
    <t>Lake Como</t>
  </si>
  <si>
    <t>Como Dam</t>
  </si>
  <si>
    <t>Lake Como and Como Dam (CMO)</t>
  </si>
  <si>
    <t>Conconully Lake</t>
  </si>
  <si>
    <t>Conconully Reservoir (Salmon Lake Dam)</t>
  </si>
  <si>
    <t>Conconully Lake (Salmon Lake Dam)</t>
  </si>
  <si>
    <t>0021-Okanogan Project</t>
  </si>
  <si>
    <t>Salmon Lake Dam</t>
  </si>
  <si>
    <t>Conconully Lake and Salmon Lake Dam (CCL)</t>
  </si>
  <si>
    <t>Salmon Lake</t>
  </si>
  <si>
    <t>Conconully Reservoir</t>
  </si>
  <si>
    <t>Storage: https://www.usbr.gov/pn-bin/daily.pl?station=ccr&amp;format=html&amp;year=2025&amp;month=12&amp;day=29&amp;year=2026&amp;month=1&amp;day=27&amp;pcode=af</t>
  </si>
  <si>
    <t>Conconully (Conconully Dam)</t>
  </si>
  <si>
    <t>Conconully Reservoir (Conconully Dam)</t>
  </si>
  <si>
    <t>Conconully Dam</t>
  </si>
  <si>
    <t>Conde Creek Diversion</t>
  </si>
  <si>
    <t>Conde Creek Diversion Pool</t>
  </si>
  <si>
    <t>Conde Creek Diversion Dam</t>
  </si>
  <si>
    <t>Contra Loma</t>
  </si>
  <si>
    <t>0863-Central Valley Project-Delta Division</t>
  </si>
  <si>
    <t>Contra Loma Reservoir</t>
  </si>
  <si>
    <t>Contra Loma Dam</t>
  </si>
  <si>
    <t>Corbett Diversion Dam</t>
  </si>
  <si>
    <t>Corbett Diversion Dam Pool</t>
  </si>
  <si>
    <t>Crane Prairie</t>
  </si>
  <si>
    <t>Crane Prairie Reservoir (Crane Prairie Dam)</t>
  </si>
  <si>
    <t>0112-Deschutes Project</t>
  </si>
  <si>
    <t>Crane Prairie Reservoir</t>
  </si>
  <si>
    <t>Crane Prairie Dam</t>
  </si>
  <si>
    <t>Crane Prairie Reservoir and Dam (CRA)</t>
  </si>
  <si>
    <t>Crawford</t>
  </si>
  <si>
    <t>Crawford Reservoir (Crawford Dam)</t>
  </si>
  <si>
    <t>0517-Smith Fork Project</t>
  </si>
  <si>
    <t>Crawford Reservoir</t>
  </si>
  <si>
    <t>Crawford Dam</t>
  </si>
  <si>
    <t>Crawford Dam and Reservoir</t>
  </si>
  <si>
    <t>Crescent</t>
  </si>
  <si>
    <t>Get capacity</t>
  </si>
  <si>
    <t>Active Storage of 86900, Storage data will be in RISE</t>
  </si>
  <si>
    <t>Crescent Lake</t>
  </si>
  <si>
    <t>Crescent Lake (Crescent Lake Dam)</t>
  </si>
  <si>
    <t>Crescent Lake and Crescent Lake Dam (CRE)</t>
  </si>
  <si>
    <t>Crystal</t>
  </si>
  <si>
    <t>Crystal Reservoir (Crystal Dam)</t>
  </si>
  <si>
    <t>Crystal Reservoir</t>
  </si>
  <si>
    <t>Crystal Dam</t>
  </si>
  <si>
    <t>Crystal Reservoir Dam and Powerplant</t>
  </si>
  <si>
    <t>Culbertson Diversion</t>
  </si>
  <si>
    <t>GP Hydromet - CUNE (canal gage, no storage, gage height only)</t>
  </si>
  <si>
    <t>Culbertson Diversion Pool</t>
  </si>
  <si>
    <t>Culbertson Diversion Dam</t>
  </si>
  <si>
    <t>Currant Creek</t>
  </si>
  <si>
    <t>Currant Creek Reservoir (Currant Creek Dam)</t>
  </si>
  <si>
    <t>0066-Central Utah Project-Initial Division-Bonneville Unit</t>
  </si>
  <si>
    <t>Currant Creek Reservoir</t>
  </si>
  <si>
    <t>Currant Creek Dam</t>
  </si>
  <si>
    <t>Currant Creek Reservoir and Dam</t>
  </si>
  <si>
    <t>Daley Creek Diversion</t>
  </si>
  <si>
    <t>Daley Creek Diversion Pool</t>
  </si>
  <si>
    <t>Daley Creek Diversion Dam</t>
  </si>
  <si>
    <t>Davis Creek</t>
  </si>
  <si>
    <t>GP Hydromet - DANE</t>
  </si>
  <si>
    <t>Davis Creek Reservoir (Davis Creek Dam)</t>
  </si>
  <si>
    <t>Davis Creek Reservoir</t>
  </si>
  <si>
    <t>Davis Creek Dam</t>
  </si>
  <si>
    <t>Davis Creek Reservoir and Dam</t>
  </si>
  <si>
    <t>Dead Indian Creek Diversion</t>
  </si>
  <si>
    <t>Dead Indian Creek Diversion Pool</t>
  </si>
  <si>
    <t>Dead Indian Creek Diversion Dam</t>
  </si>
  <si>
    <t>Deadwood</t>
  </si>
  <si>
    <t>Deadwood Reservoir (Deadwood Dam)</t>
  </si>
  <si>
    <t>Deadwood Reservoir</t>
  </si>
  <si>
    <t>Deadwood Dam</t>
  </si>
  <si>
    <t>Deadwood Reservoir and Dam</t>
  </si>
  <si>
    <t>Deaver</t>
  </si>
  <si>
    <t>Deaver Reservoir</t>
  </si>
  <si>
    <t>Deaver Dam</t>
  </si>
  <si>
    <t>Deer Creek</t>
  </si>
  <si>
    <t>Deer Creek Reservoir (Deer Creek Dam)</t>
  </si>
  <si>
    <t>Deer Creek Reservoir</t>
  </si>
  <si>
    <t>Deer Creek Dam</t>
  </si>
  <si>
    <t>Deer Creek Reservoir Dam and Powerplant</t>
  </si>
  <si>
    <t>Deerfield</t>
  </si>
  <si>
    <t>Deerfield Lake (Deerfield Dam)</t>
  </si>
  <si>
    <t>0252-Rapid Valley Project</t>
  </si>
  <si>
    <t>Deerfield Lake</t>
  </si>
  <si>
    <t>Deerfield Dam</t>
  </si>
  <si>
    <t>Deerfield Reservoir and Dam</t>
  </si>
  <si>
    <t>Derby Diversion</t>
  </si>
  <si>
    <t>Derby Diversion Reservoir</t>
  </si>
  <si>
    <t>Derby Diversion Dam</t>
  </si>
  <si>
    <t>Dille Diversion</t>
  </si>
  <si>
    <t>Dille Diversion Pool</t>
  </si>
  <si>
    <t>Dille Diversion Dam</t>
  </si>
  <si>
    <t>Diversion</t>
  </si>
  <si>
    <t>0028-Sun River Project</t>
  </si>
  <si>
    <t>Diversion Lake</t>
  </si>
  <si>
    <t>Sun River Diversion Dam</t>
  </si>
  <si>
    <t>Sun River Diversion</t>
  </si>
  <si>
    <t>Diversion Canal Headworks</t>
  </si>
  <si>
    <t>0113-Crooked River Project</t>
  </si>
  <si>
    <t>Diversion Canal Headworks Pool</t>
  </si>
  <si>
    <t>Dodson Diversion</t>
  </si>
  <si>
    <t>0015-Milk River Project</t>
  </si>
  <si>
    <t>Dodson Diversion Reservoir</t>
  </si>
  <si>
    <t>Dodson Diversion Dam</t>
  </si>
  <si>
    <t>Dry Creek Diversion Dam</t>
  </si>
  <si>
    <t>Dry Creek Diversion Dam Pool</t>
  </si>
  <si>
    <t>Dry Spotted Tail Diversion</t>
  </si>
  <si>
    <t>Dry Spotted Tail Diversion Pool</t>
  </si>
  <si>
    <t>Dry Spotted Tail Diversion Dam</t>
  </si>
  <si>
    <t>Duchesne Diversion</t>
  </si>
  <si>
    <t>Duchesne Diversion Pool</t>
  </si>
  <si>
    <t>Duchesne Diversion Dam</t>
  </si>
  <si>
    <t>Dunlap Diversion</t>
  </si>
  <si>
    <t>GP Hydromet - DUNE (canal gage, no storage, gage height only)</t>
  </si>
  <si>
    <t>Dunlap Diversion Pool</t>
  </si>
  <si>
    <t>Dunlap Diversion Dam</t>
  </si>
  <si>
    <t>East Canal Diversion</t>
  </si>
  <si>
    <t>East Canal Diversion Pool</t>
  </si>
  <si>
    <t>East Canal Diversion Dam</t>
  </si>
  <si>
    <t>East Canyon</t>
  </si>
  <si>
    <t>East Canyon Reservoir (East Canyon Dam)</t>
  </si>
  <si>
    <t>East Canyon Reservoir</t>
  </si>
  <si>
    <t>East Canyon Dam</t>
  </si>
  <si>
    <t>East Canyon Reservoir and Dam</t>
  </si>
  <si>
    <t>East Fork Diversion</t>
  </si>
  <si>
    <t>East Fork Diversion Pool</t>
  </si>
  <si>
    <t>East Fork Diversion Dam</t>
  </si>
  <si>
    <t>East Park Lake</t>
  </si>
  <si>
    <t>East Park Reservoir</t>
  </si>
  <si>
    <t>0022-Orland Project</t>
  </si>
  <si>
    <t>East Park Dam</t>
  </si>
  <si>
    <t>East Portal</t>
  </si>
  <si>
    <t>East Portal Reservoir</t>
  </si>
  <si>
    <t>East Portal Dam</t>
  </si>
  <si>
    <t>Easton</t>
  </si>
  <si>
    <t>Lake Easton</t>
  </si>
  <si>
    <t>Easton Diversion Dam</t>
  </si>
  <si>
    <t>Echo</t>
  </si>
  <si>
    <t>Echo Reservoir (Echo Dam)</t>
  </si>
  <si>
    <t>0762-Weber River Project</t>
  </si>
  <si>
    <t>Echo Reservoir</t>
  </si>
  <si>
    <t>Echo Dam</t>
  </si>
  <si>
    <t>Echo Reservoir and Dam</t>
  </si>
  <si>
    <t>Eden</t>
  </si>
  <si>
    <t>Eden (Eden Dikes)</t>
  </si>
  <si>
    <t>Eden Reservoir (Eden Dikes)</t>
  </si>
  <si>
    <t>Eden Reservoir</t>
  </si>
  <si>
    <t>Eden Dikes</t>
  </si>
  <si>
    <t>Eden Reservoir and Dam</t>
  </si>
  <si>
    <t>Edward Arthur Patterson</t>
  </si>
  <si>
    <t>Edward Arthur Patterson (Dickinson Dam)</t>
  </si>
  <si>
    <t>Edward Arthur Patterson Lake (Dickinson Dam)</t>
  </si>
  <si>
    <t>1111-Pick-Sloan Missouri Basin Program-Heart Division-Dickinson Unit</t>
  </si>
  <si>
    <t>Edward Arthur Patterson Lake</t>
  </si>
  <si>
    <t>Dickinson Dam</t>
  </si>
  <si>
    <t>El Vado</t>
  </si>
  <si>
    <t>Capacity currently restricted to 25,678 AF.</t>
  </si>
  <si>
    <t>El Vado Reservoir (El Vado Dam)</t>
  </si>
  <si>
    <t>El Vado Reservoir</t>
  </si>
  <si>
    <t>El Vado Dam</t>
  </si>
  <si>
    <t>El Vado Lake and Dam</t>
  </si>
  <si>
    <t>Elephant Butte</t>
  </si>
  <si>
    <t>Elephant Butte Reservoir (Elephant Butte Dam)</t>
  </si>
  <si>
    <t>Elephant Butte Reservoir</t>
  </si>
  <si>
    <t>Elephant Butte Dam</t>
  </si>
  <si>
    <t>Elephant Butte Reservoir Dam and Powerplant</t>
  </si>
  <si>
    <t>Elwell</t>
  </si>
  <si>
    <t>Elwell (Tiber Dam)</t>
  </si>
  <si>
    <t>Lake Elwell (Tiber Dam)</t>
  </si>
  <si>
    <t>0084-Pick-Sloan Missouri Basin Program-Marias Division-Lower Marias Unit</t>
  </si>
  <si>
    <t>Lake Elwell</t>
  </si>
  <si>
    <t>Tiber Dam</t>
  </si>
  <si>
    <t>Lake Elwell and Tiber Dam</t>
  </si>
  <si>
    <t>Tiber</t>
  </si>
  <si>
    <t>Emigrant</t>
  </si>
  <si>
    <t>Emigrant Reservoir (Emigrant Dam)</t>
  </si>
  <si>
    <t>Emigrant Reservoir</t>
  </si>
  <si>
    <t>Emigrant Dam</t>
  </si>
  <si>
    <t>Emigrant Lake and Dam (EMI)</t>
  </si>
  <si>
    <t>Enders</t>
  </si>
  <si>
    <t>GP Hydromet - EDNE (has storage)</t>
  </si>
  <si>
    <t>Enders Reservoir (Enders Dam)</t>
  </si>
  <si>
    <t>Enders Reservoir</t>
  </si>
  <si>
    <t>Enders Dam</t>
  </si>
  <si>
    <t>Enders Reservoir and Dam</t>
  </si>
  <si>
    <t>Estes</t>
  </si>
  <si>
    <t>https://www.usbr.gov/gp-bin/hydromet_dayfiles.pl</t>
  </si>
  <si>
    <t>Estes (Olympus Dam)</t>
  </si>
  <si>
    <t>Lake Estes (Olympus Dam)</t>
  </si>
  <si>
    <t>Lake Estes</t>
  </si>
  <si>
    <t>Olympus Dam</t>
  </si>
  <si>
    <t>Lake Estes and Olympus Dam</t>
  </si>
  <si>
    <t>Olympus</t>
  </si>
  <si>
    <t>Ewauna</t>
  </si>
  <si>
    <t>Lake Ewauna</t>
  </si>
  <si>
    <t>Keno Dam</t>
  </si>
  <si>
    <t>Feed Canal Diversion</t>
  </si>
  <si>
    <t>Feed Canal Diversion Pool</t>
  </si>
  <si>
    <t>Feed Canal Diversion Dam</t>
  </si>
  <si>
    <t>Fire Mountain Diversion</t>
  </si>
  <si>
    <t>0551-Paonia Project</t>
  </si>
  <si>
    <t>Fire Mountain Diversion Pool</t>
  </si>
  <si>
    <t>Fire Mountain Diversion Dam</t>
  </si>
  <si>
    <t>Fish</t>
  </si>
  <si>
    <t>Fish Lake</t>
  </si>
  <si>
    <t>Fish Lake (Fish Lake Dam)</t>
  </si>
  <si>
    <t>Fish Lake Dam</t>
  </si>
  <si>
    <t>Fish Lake and Fish Lake Dam (FIS)</t>
  </si>
  <si>
    <t>Flaming Gorge</t>
  </si>
  <si>
    <t>Flaming Gorge Reservoir (Flaming Gorge Dam)</t>
  </si>
  <si>
    <t>0591-Colorado River Storage Project-Green Division-Flaming Gorge Unit</t>
  </si>
  <si>
    <t>Flaming Gorge Reservoir</t>
  </si>
  <si>
    <t>Flaming Gorge Dam</t>
  </si>
  <si>
    <t>Flaming Gorge Reservoir Dam and Powerplant</t>
  </si>
  <si>
    <t>Flatiron</t>
  </si>
  <si>
    <t>Flatiron Reservoir (Flatiron Dam)</t>
  </si>
  <si>
    <t>Flatiron Reservoir</t>
  </si>
  <si>
    <t>Flatiron Dam</t>
  </si>
  <si>
    <t>Flatiron Reservoir and Dam</t>
  </si>
  <si>
    <t>Florida Farmers Diversion</t>
  </si>
  <si>
    <t>0519-Florida Project</t>
  </si>
  <si>
    <t>Florida Farmers Diversion Pool</t>
  </si>
  <si>
    <t>Florida Farmers Diversion Dam</t>
  </si>
  <si>
    <t>Folsom</t>
  </si>
  <si>
    <t>Folsom Lake (Folsom Dam)</t>
  </si>
  <si>
    <t>0859-Central Valley Project-American River Division-Auburn-Folsom South Unit</t>
  </si>
  <si>
    <t>Folsom Lake</t>
  </si>
  <si>
    <t>Folsom Dam</t>
  </si>
  <si>
    <t>Folsom Lake Dam and Powerplant</t>
  </si>
  <si>
    <t>Fontenelle</t>
  </si>
  <si>
    <t>Fontenelle Reservoir (Fontenelle Dam)</t>
  </si>
  <si>
    <t>0154-Seedskadee Project</t>
  </si>
  <si>
    <t>Fontenelle Reservoir</t>
  </si>
  <si>
    <t>Fontenelle Dam</t>
  </si>
  <si>
    <t>Fontenelle Reservoir Dam and Powerplant</t>
  </si>
  <si>
    <t>Fort Cobb</t>
  </si>
  <si>
    <t>GP Hydromet - COBB (has storage)</t>
  </si>
  <si>
    <t>Fort Cobb Reservoir (Fort Cobb Dam)</t>
  </si>
  <si>
    <t>0853-Washita Basin Project-Fort Cobb Division</t>
  </si>
  <si>
    <t>Fort Cobb Reservoir</t>
  </si>
  <si>
    <t>Fort Cobb Dam</t>
  </si>
  <si>
    <t>Fort Cobb Reservoir and Dam</t>
  </si>
  <si>
    <t>Fort Peck</t>
  </si>
  <si>
    <t>Use USACE Data</t>
  </si>
  <si>
    <t>USACE https://water.sec.usace.army.mil/overview/nwdm/locations/ftpk</t>
  </si>
  <si>
    <t>USACE https://water.usace.army.mil/cda/documents/wc/2506/FortPeckWCM_Final_Dec2018_Redacted.pdf Table IV-1</t>
  </si>
  <si>
    <t>https://water.sec.usace.army.mil/overview/nwdm/locations/ftpk</t>
  </si>
  <si>
    <t>Fort Peck reservoir-- (Fort Peck Dam)</t>
  </si>
  <si>
    <t xml:space="preserve">Fort Peck Reservoir </t>
  </si>
  <si>
    <t>Fort Shaw Diversion</t>
  </si>
  <si>
    <t>USACE https://water.usace.army.mil/overview/nww/locations/luc</t>
  </si>
  <si>
    <t>Fort Shaw Diversion Pool</t>
  </si>
  <si>
    <t>Fort Shaw Diversion Dam</t>
  </si>
  <si>
    <t>Fort Smith Sewage Disposal Ponds</t>
  </si>
  <si>
    <t>Fort Sumner Diversion</t>
  </si>
  <si>
    <t>0430-Fort Sumner Project</t>
  </si>
  <si>
    <t>Fort Sumner Diversion Pool</t>
  </si>
  <si>
    <t>Fort Sumner Diversion Dam</t>
  </si>
  <si>
    <t>Fort Thornburgh Diversion</t>
  </si>
  <si>
    <t>0325-Central Utah Project-Initial Division-Vernal Unit</t>
  </si>
  <si>
    <t>Fort Thornburgh Diversion Pool</t>
  </si>
  <si>
    <t>Fort Thornburgh Diversion Dam</t>
  </si>
  <si>
    <t>Foss</t>
  </si>
  <si>
    <t>GP Hydromet - FOSS (has storage)</t>
  </si>
  <si>
    <t>Foss Reservoir (Foss Dam)</t>
  </si>
  <si>
    <t>0854-Washita Basin Project-Foss Division</t>
  </si>
  <si>
    <t>Foss Reservoir</t>
  </si>
  <si>
    <t>Foss Dam</t>
  </si>
  <si>
    <t>Foss Reservoir and Dam</t>
  </si>
  <si>
    <t>Fourmile</t>
  </si>
  <si>
    <t>Fourmile Lake</t>
  </si>
  <si>
    <t>Fourmile Lake (Fourmile Lake Dam)</t>
  </si>
  <si>
    <t>0529-Rogue River Basin Project-Medford Division</t>
  </si>
  <si>
    <t>Fourmile Lake Dam</t>
  </si>
  <si>
    <t>Fourmile Lake and Fourmile Lake Dam (FOR)</t>
  </si>
  <si>
    <t>Franchi</t>
  </si>
  <si>
    <t>1785-Central Valley Project-Friant Division</t>
  </si>
  <si>
    <t>Franchi Reservoir</t>
  </si>
  <si>
    <t>John A. Franchi Diversion Dam</t>
  </si>
  <si>
    <t>Frank Chee Willetto</t>
  </si>
  <si>
    <t>1695-Navajo-Gallup Water Supply Project</t>
  </si>
  <si>
    <t>Frank Chee Willetto Reservoir</t>
  </si>
  <si>
    <t>Willetto Dam</t>
  </si>
  <si>
    <t>Franklin D. Roosevelt</t>
  </si>
  <si>
    <t>USACE https://water.usace.army.mil/overview/nwdp/locations/gcl</t>
  </si>
  <si>
    <t>Storage: https://water.usace.army.mil/overview/nwdp/locations/gcl</t>
  </si>
  <si>
    <t>Franklin D. Roosevelt (Grand Coulee Dam)</t>
  </si>
  <si>
    <t>Franklin D. Roosevelt Lake (Grand Coulee Dam)</t>
  </si>
  <si>
    <t>Franklin D. Roosevelt Lake</t>
  </si>
  <si>
    <t>Grand Coulee Dam</t>
  </si>
  <si>
    <t>Franklin D. Roosevelt Lake and Grand Coulee Dam</t>
  </si>
  <si>
    <t>Grand Coulee</t>
  </si>
  <si>
    <t>French Canyon</t>
  </si>
  <si>
    <t>French Canyon Reservoir</t>
  </si>
  <si>
    <t>French Canyon Dam</t>
  </si>
  <si>
    <t>Frenchtown Diversion</t>
  </si>
  <si>
    <t>0234-Frenchtown Project</t>
  </si>
  <si>
    <t>Frenchtown Diversion Pool</t>
  </si>
  <si>
    <t>Frenchtown Diversion Dam</t>
  </si>
  <si>
    <t>Fresno</t>
  </si>
  <si>
    <t>Fresno Reservoir (Fresno Dam)</t>
  </si>
  <si>
    <t>Fresno Reservoir</t>
  </si>
  <si>
    <t>Fresno Dam</t>
  </si>
  <si>
    <t>Fresno Reservoir and Dam</t>
  </si>
  <si>
    <t>Fruitgrowers</t>
  </si>
  <si>
    <t>Fruitgrowers Reservoir (Fruitgrowers Dam)</t>
  </si>
  <si>
    <t>Fruitgrowers Reservoir</t>
  </si>
  <si>
    <t>Fruitgrowers Dam</t>
  </si>
  <si>
    <t>Fruitgrowers Reservoir and Dam</t>
  </si>
  <si>
    <t>Fryingpan Diversion</t>
  </si>
  <si>
    <t>Fryingpan Diversion Pool</t>
  </si>
  <si>
    <t>Fryingpan Diversion Dam</t>
  </si>
  <si>
    <t>Funks</t>
  </si>
  <si>
    <t>0602-Central Valley Project-Sacramento River Division-Sacramento Canals Unit</t>
  </si>
  <si>
    <t>Funks Reservoir</t>
  </si>
  <si>
    <t>Funks Dam</t>
  </si>
  <si>
    <t>Garnet Diversion</t>
  </si>
  <si>
    <t>Garnet Diversion Pool</t>
  </si>
  <si>
    <t>Garnet Diversion Dam</t>
  </si>
  <si>
    <t>Gerber</t>
  </si>
  <si>
    <t>storage: Hydromet data https://www.usbr.gov/pn/hydromet/klamath/kinstant_graph.html?cbtt=GER&amp;pcode=AF</t>
  </si>
  <si>
    <t>Gerber Reservoir (Gerber Dam)</t>
  </si>
  <si>
    <t>Gerber Reservoir</t>
  </si>
  <si>
    <t>Gerber Dam</t>
  </si>
  <si>
    <t>Gibson</t>
  </si>
  <si>
    <t>Gibson Reservoir (Gibson Dam)</t>
  </si>
  <si>
    <t>Gibson Reservoir</t>
  </si>
  <si>
    <t>Gibson Dam</t>
  </si>
  <si>
    <t>Gibson Reservoir and Dam</t>
  </si>
  <si>
    <t>Glen Anne</t>
  </si>
  <si>
    <t>Glen Anne Reservoir</t>
  </si>
  <si>
    <t>Glen Anne Dam</t>
  </si>
  <si>
    <t>Glendo</t>
  </si>
  <si>
    <t>Glendo Reservoir (Glendo Dam)</t>
  </si>
  <si>
    <t>0449-Pick-Sloan Missouri Basin Program-Oregon Trail Division-Glendo Unit</t>
  </si>
  <si>
    <t>Glendo Reservoir</t>
  </si>
  <si>
    <t>Glendo Dam</t>
  </si>
  <si>
    <t>Glendo Reservoir Dam and Powerplant</t>
  </si>
  <si>
    <t>Gracie Creek</t>
  </si>
  <si>
    <t>Gracie Creek Reservoir</t>
  </si>
  <si>
    <t>Gracie Creek Dam</t>
  </si>
  <si>
    <t>Granby</t>
  </si>
  <si>
    <t>Lake Granby (Granby Dam)</t>
  </si>
  <si>
    <t>Lake Granby</t>
  </si>
  <si>
    <t>Granby Dam</t>
  </si>
  <si>
    <t>Lake Granby and Dam</t>
  </si>
  <si>
    <t>Grand</t>
  </si>
  <si>
    <t>Grand Lake</t>
  </si>
  <si>
    <t>Grand Valley Diversion</t>
  </si>
  <si>
    <t>0008-Grand Valley Project</t>
  </si>
  <si>
    <t>Grand Valley Diversion Pool</t>
  </si>
  <si>
    <t>Grand Valley Diversion Dam</t>
  </si>
  <si>
    <t>Granite Diversion</t>
  </si>
  <si>
    <t>Granite Diversion Pool</t>
  </si>
  <si>
    <t>Granite Diversion Dam</t>
  </si>
  <si>
    <t>Granite Reef Diversion</t>
  </si>
  <si>
    <t>Granite Reef Diversion Reservoir</t>
  </si>
  <si>
    <t>Granite Reef Diversion Dam</t>
  </si>
  <si>
    <t>Grassy</t>
  </si>
  <si>
    <t>Grassy Lake</t>
  </si>
  <si>
    <t>Grassy Lake (Grassy Lake Dam)</t>
  </si>
  <si>
    <t>Grassy Lake Dam</t>
  </si>
  <si>
    <t>Grassy Lake and Grassy Lake Dam (GRS)</t>
  </si>
  <si>
    <t>Gray Reef</t>
  </si>
  <si>
    <t>Fix RISE data feed?</t>
  </si>
  <si>
    <t>Storage: ? MB -Hydromet - GRAR</t>
  </si>
  <si>
    <t>Gray Reef Reservoir (Gray Reef Dam)</t>
  </si>
  <si>
    <t>Gray Reef Reservoir</t>
  </si>
  <si>
    <t>Gray Reef Dam</t>
  </si>
  <si>
    <t>Regulating Reservoir</t>
  </si>
  <si>
    <t>RISE Location is Gray Reef Dam only (no Reservoir)</t>
  </si>
  <si>
    <t>Green Mountain</t>
  </si>
  <si>
    <t>Green Mountain Reservoir (Green Mountain Dam)</t>
  </si>
  <si>
    <t>Green Mountain Reservoir</t>
  </si>
  <si>
    <t>Green Mountain Dam</t>
  </si>
  <si>
    <t>Green Mountain Reservoir Dam and Powerplant</t>
  </si>
  <si>
    <t>Guernsey</t>
  </si>
  <si>
    <t>MB -Hydromet GUER</t>
  </si>
  <si>
    <t>Guernsey Reservoir (Guernsey Dam)</t>
  </si>
  <si>
    <t>Guernsey Reservoir</t>
  </si>
  <si>
    <t>Guernsey Dam</t>
  </si>
  <si>
    <t>Guernsey Reservoir Dam and Powerplant</t>
  </si>
  <si>
    <t>Guide Rock Diversion</t>
  </si>
  <si>
    <t>GP Hydromet - GDSNE (channel gage, no storage, gage height only)</t>
  </si>
  <si>
    <t>0271-Pick-Sloan Missouri Basin Program-Bostwick Division</t>
  </si>
  <si>
    <t>Guide Rock Diversion Pool</t>
  </si>
  <si>
    <t>Guide Rock Diversion Dam</t>
  </si>
  <si>
    <t>Gunnison Diversion</t>
  </si>
  <si>
    <t>Gunnison Diversion Pool</t>
  </si>
  <si>
    <t>Gunnison Diversion Dam</t>
  </si>
  <si>
    <t>Hades Diversion</t>
  </si>
  <si>
    <t>Hades Diversion Pool</t>
  </si>
  <si>
    <t>Hades Diversion Dam</t>
  </si>
  <si>
    <t>Halfmoon Diversion</t>
  </si>
  <si>
    <t>Halfmoon Diversion Pool</t>
  </si>
  <si>
    <t>Halfmoon Diversion Dam</t>
  </si>
  <si>
    <t>Hammond Diversion</t>
  </si>
  <si>
    <t>0343-Hammond Project</t>
  </si>
  <si>
    <t>Hammond Diversion Pool</t>
  </si>
  <si>
    <t>Hammond Diversion Dam</t>
  </si>
  <si>
    <t>Harmon</t>
  </si>
  <si>
    <t>Harmon Reservoir</t>
  </si>
  <si>
    <t>Harmon Dam</t>
  </si>
  <si>
    <t>Harper Diversion</t>
  </si>
  <si>
    <t>Harper Diversion Pool</t>
  </si>
  <si>
    <t>Harper Diversion Dam</t>
  </si>
  <si>
    <t>Harry Strunk</t>
  </si>
  <si>
    <t>GP Hydromet - HSNE (has storage)</t>
  </si>
  <si>
    <t>Harry Strunk (Medicine Creek Dam)</t>
  </si>
  <si>
    <t>Harry Strunk Lake (Medicine Creek Dam)</t>
  </si>
  <si>
    <t>Harry Strunk Lake</t>
  </si>
  <si>
    <t>Medicine Creek Dam</t>
  </si>
  <si>
    <t>Harry Strunk Lake and Medicine Creek Dam</t>
  </si>
  <si>
    <t>Medicine Creek</t>
  </si>
  <si>
    <t>Havasu</t>
  </si>
  <si>
    <t>Havasu (Parker Dam)</t>
  </si>
  <si>
    <t>Lake Havasu (Parker Dam)</t>
  </si>
  <si>
    <t>0351-Parker-Davis Project</t>
  </si>
  <si>
    <t>Lake Havasu</t>
  </si>
  <si>
    <t>Parker Dam</t>
  </si>
  <si>
    <t>Lake Havasu Parker Dam and Powerplant</t>
  </si>
  <si>
    <t>Parker</t>
  </si>
  <si>
    <t>Haystack</t>
  </si>
  <si>
    <t>Haystack Reservoir (Haystack Dam)</t>
  </si>
  <si>
    <t>Haystack Reservoir</t>
  </si>
  <si>
    <t>Haystack Dam</t>
  </si>
  <si>
    <t>Haystack Reservoir and Dam (HAY)</t>
  </si>
  <si>
    <t>Heckers</t>
  </si>
  <si>
    <t>Heckers Lake</t>
  </si>
  <si>
    <t>Helena Valley</t>
  </si>
  <si>
    <t>GP Hydromet - HVT (has storage)</t>
  </si>
  <si>
    <t>Helena Valley Reservoir (Helena Valley Dam)</t>
  </si>
  <si>
    <t>0596-Pick-Sloan Missouri Basin Program-Helena-Great Falls Division-Helena Valley Unit</t>
  </si>
  <si>
    <t>Helena Valley Reservoir</t>
  </si>
  <si>
    <t>Helena Valley Dam</t>
  </si>
  <si>
    <t>Henry Hagg</t>
  </si>
  <si>
    <t>Henry Hagg (Scoggins Dam)</t>
  </si>
  <si>
    <t>Henry Hagg Lake (Scoggins Dam)</t>
  </si>
  <si>
    <t>0417-Tualatin Project</t>
  </si>
  <si>
    <t>Henry Hagg Lake</t>
  </si>
  <si>
    <t>Scoggins Dam</t>
  </si>
  <si>
    <t>Henry Hagg Lake and Scoggins Dam (SCO)</t>
  </si>
  <si>
    <t>Scoggins</t>
  </si>
  <si>
    <t>Henrys</t>
  </si>
  <si>
    <t>Henrys Lake and Henrys Lake Dam (HEN)</t>
  </si>
  <si>
    <t>Henrys Lake</t>
  </si>
  <si>
    <t>Heron</t>
  </si>
  <si>
    <t>Heron Reservoir (Heron Dam)</t>
  </si>
  <si>
    <t>Heron Reservoir</t>
  </si>
  <si>
    <t>Heron Dam</t>
  </si>
  <si>
    <t>Heron Reservoir and Dam</t>
  </si>
  <si>
    <t>Hoffer</t>
  </si>
  <si>
    <t>Hoffer Lake</t>
  </si>
  <si>
    <t>Holmes</t>
  </si>
  <si>
    <t>Lake Holmes</t>
  </si>
  <si>
    <t>Horseshoe</t>
  </si>
  <si>
    <t>Horseshoe Reservoir</t>
  </si>
  <si>
    <t>Horseshoe Dam</t>
  </si>
  <si>
    <t>Horsetooth</t>
  </si>
  <si>
    <t>Horsetooth Reservoir (Horsetooth Dam)</t>
  </si>
  <si>
    <t>Horsetooth Reservoir</t>
  </si>
  <si>
    <t>Horsetooth Dam</t>
  </si>
  <si>
    <t>Horsetooth Reservoir and Dam</t>
  </si>
  <si>
    <t>Howard Prairie</t>
  </si>
  <si>
    <t>Howard Prairie Reservoir (Howard Prairie Dam)</t>
  </si>
  <si>
    <t>Howard Prairie Reservoir</t>
  </si>
  <si>
    <t>Howard Prairie Dam</t>
  </si>
  <si>
    <t>Howard Prairie Lake and Dam (HPD)</t>
  </si>
  <si>
    <t>Hubbard</t>
  </si>
  <si>
    <t>Hubbard Reservoir</t>
  </si>
  <si>
    <t>Hubbard Dam</t>
  </si>
  <si>
    <t>Hugh Butler</t>
  </si>
  <si>
    <t>GP Hydromet - HBNE (has storage)</t>
  </si>
  <si>
    <t>Hugh Butler (Red Willow Dam)</t>
  </si>
  <si>
    <t>Hugh Butler Lake (Red Willow Dam)</t>
  </si>
  <si>
    <t>Hugh Butler Lake</t>
  </si>
  <si>
    <t>Red Willow Dam</t>
  </si>
  <si>
    <t>Hugh Butler Lake and Red Willow Dam</t>
  </si>
  <si>
    <t>Red Willow</t>
  </si>
  <si>
    <t>Hungry Horse</t>
  </si>
  <si>
    <t>Hungry Horse Reservoir (Hungry Horse Dam)</t>
  </si>
  <si>
    <t>0447-Hungry Horse Project</t>
  </si>
  <si>
    <t>Hungry Horse Reservoir</t>
  </si>
  <si>
    <t>Hungry Horse Dam</t>
  </si>
  <si>
    <t>Hungry Horse Reservoir, Dam, and Powerplant (HGH)</t>
  </si>
  <si>
    <t>Hunter Creek Diversion</t>
  </si>
  <si>
    <t>Hunter Creek Diversion Pool</t>
  </si>
  <si>
    <t>Hunter Creek Diversion Dam</t>
  </si>
  <si>
    <t>Huntington North</t>
  </si>
  <si>
    <t>Huntington North Reservoir and Dam</t>
  </si>
  <si>
    <t>Hyatt</t>
  </si>
  <si>
    <t>Hyatt Reservoir (Hyatt Dam)</t>
  </si>
  <si>
    <t>Hyatt Reservoir</t>
  </si>
  <si>
    <t>Hyatt Dam</t>
  </si>
  <si>
    <t>Hyatt Reservoir and Dam (HYA)</t>
  </si>
  <si>
    <t>Hyrum</t>
  </si>
  <si>
    <t>Hyrum Reservoir (Hyrum Dam)</t>
  </si>
  <si>
    <t>0188-Hyrum Project</t>
  </si>
  <si>
    <t>Hyrum Reservoir</t>
  </si>
  <si>
    <t>Hyrum Dam</t>
  </si>
  <si>
    <t>Hyrum Reservoir and Dam</t>
  </si>
  <si>
    <t>Imperial</t>
  </si>
  <si>
    <t>Imperial Reservoir</t>
  </si>
  <si>
    <t>Imperial Diversion Dam</t>
  </si>
  <si>
    <t>Imperial Reservoir at Imperial Dam</t>
  </si>
  <si>
    <t>Ironstone Diversion</t>
  </si>
  <si>
    <t>Ironstone Diversion Pool</t>
  </si>
  <si>
    <t>Ironstone Diversion Dam</t>
  </si>
  <si>
    <t>Isabel</t>
  </si>
  <si>
    <t>Lake Isabel and Dam</t>
  </si>
  <si>
    <t>Island Park</t>
  </si>
  <si>
    <t>Island Park Reservoir (Island Park Dam)</t>
  </si>
  <si>
    <t>Island Park Reservoir</t>
  </si>
  <si>
    <t>Island Park Dam</t>
  </si>
  <si>
    <t>Island Park Reservoir and Dam (ISL)</t>
  </si>
  <si>
    <t>Isleta Diversion</t>
  </si>
  <si>
    <t>Isleta Diversion Pool</t>
  </si>
  <si>
    <t>Isleta Diversion Dam</t>
  </si>
  <si>
    <t>Ivanhoe Diversion</t>
  </si>
  <si>
    <t>Ivanhoe Diversion Pool</t>
  </si>
  <si>
    <t>Ivanhoe Diversion Dam</t>
  </si>
  <si>
    <t>Jackson</t>
  </si>
  <si>
    <t>Jackson Lake</t>
  </si>
  <si>
    <t>Jackson Lake (Jackson Lake Dam)</t>
  </si>
  <si>
    <t>Jackson Lake Dam</t>
  </si>
  <si>
    <t>Jackson Lake and Jackson Lake Dam (JCK)</t>
  </si>
  <si>
    <t>Jackson Gulch</t>
  </si>
  <si>
    <t>Jackson Gulch Reservoir (Jackson Gulch Dam)</t>
  </si>
  <si>
    <t>0341-Mancos Project</t>
  </si>
  <si>
    <t>Jackson Gulch Reservoir</t>
  </si>
  <si>
    <t>Jackson Gulch Dam</t>
  </si>
  <si>
    <t>Jackson Gulch Reservoir and Dam</t>
  </si>
  <si>
    <t>James Diversion</t>
  </si>
  <si>
    <t>0469-Pick-Sloan Missouri Basin Program-James Division-Oahe Unit</t>
  </si>
  <si>
    <t>James Diversion Reservoir</t>
  </si>
  <si>
    <t>James Diversion Dam</t>
  </si>
  <si>
    <t>Jamestown</t>
  </si>
  <si>
    <t>Jamestown Reservoir (Jamestown Dam)</t>
  </si>
  <si>
    <t>Jamestown Reservoir</t>
  </si>
  <si>
    <t>Jamestown Dam</t>
  </si>
  <si>
    <t>Jamestown Dam and Reservoir</t>
  </si>
  <si>
    <t>Jemez Canyon</t>
  </si>
  <si>
    <t>Jemez Canyon Reservoir</t>
  </si>
  <si>
    <t>Joes Valley</t>
  </si>
  <si>
    <t>Joes Valley Reservoir and Dam</t>
  </si>
  <si>
    <t>Jordanelle</t>
  </si>
  <si>
    <t>Jordanelle Reservoir (Jordanelle Dam)</t>
  </si>
  <si>
    <t>Jordanelle Reservoir</t>
  </si>
  <si>
    <t>Jordanelle Dam</t>
  </si>
  <si>
    <t>Jordanelle Reservoir Dam and Powerplant</t>
  </si>
  <si>
    <t>Kachess</t>
  </si>
  <si>
    <t>Kachess Lake (Kachess Dam)</t>
  </si>
  <si>
    <t>Kachess Lake</t>
  </si>
  <si>
    <t>Kachess Dam</t>
  </si>
  <si>
    <t>Kachess Lake and Dam (KAC)</t>
  </si>
  <si>
    <t>Keechelus</t>
  </si>
  <si>
    <t>Keechelus Lake (Keechelus Dam)</t>
  </si>
  <si>
    <t>Keechelus Lake</t>
  </si>
  <si>
    <t>Keechelus Dam</t>
  </si>
  <si>
    <t>Keechelus Lake and Dam (KEE)</t>
  </si>
  <si>
    <t>Keene Creek</t>
  </si>
  <si>
    <t>Keene Creek Reservoir</t>
  </si>
  <si>
    <t>Keene Creek Dam</t>
  </si>
  <si>
    <t>Keene Creek Reservoir and Dam</t>
  </si>
  <si>
    <t>Keith Sebelius</t>
  </si>
  <si>
    <t>GP Hydromet - KSKS</t>
  </si>
  <si>
    <t>Keith Sebelius (Norton Dam)</t>
  </si>
  <si>
    <t>Keith Sebelius Lake (Norton Dam)</t>
  </si>
  <si>
    <t>Keith Sebelius Lake</t>
  </si>
  <si>
    <t>Norton Dam</t>
  </si>
  <si>
    <t>Keith Sebelius Lake and Norton Dam</t>
  </si>
  <si>
    <t>Norton</t>
  </si>
  <si>
    <t>Kent Diversion Dam</t>
  </si>
  <si>
    <t>GP Hydromet - KDNE (canal gage, no storage, gage height only)</t>
  </si>
  <si>
    <t>Kent Diversion Dam Pool</t>
  </si>
  <si>
    <t>Keswick</t>
  </si>
  <si>
    <t>Keswick Reservoir (Keswick Dam)</t>
  </si>
  <si>
    <t>Keswick Reservoir</t>
  </si>
  <si>
    <t>Keswick Dam</t>
  </si>
  <si>
    <t>Keswick Reservoir Dam and Powerplant</t>
  </si>
  <si>
    <t>Keyhole</t>
  </si>
  <si>
    <t>Keyhole Reservoir (Keyhole Dam)</t>
  </si>
  <si>
    <t>0486-Pick-Sloan Missouri Basin Program-Cheyenne Division-Keyhole Unit</t>
  </si>
  <si>
    <t>Keyhole Reservoir</t>
  </si>
  <si>
    <t>Keyhole Dam</t>
  </si>
  <si>
    <t>Keyhole Reservoir and Dam</t>
  </si>
  <si>
    <t>Kirwin</t>
  </si>
  <si>
    <t>GP Hydromet - KWKS</t>
  </si>
  <si>
    <t>Kirwin Reservoir (Kirwin Dam)</t>
  </si>
  <si>
    <t>0371-Pick-Sloan Missouri Basin Program-Solomon Division-Kirwin Unit</t>
  </si>
  <si>
    <t>Kirwin Reservoir</t>
  </si>
  <si>
    <t>Kirwin Dam</t>
  </si>
  <si>
    <t>Kirwin Reservoir and Dam</t>
  </si>
  <si>
    <t>Knight Diversion</t>
  </si>
  <si>
    <t>Knight Diversion Pool</t>
  </si>
  <si>
    <t>Knight Diversion Dam</t>
  </si>
  <si>
    <t>Kortes</t>
  </si>
  <si>
    <t>MB Hydromet - KORR (has storage)</t>
  </si>
  <si>
    <t>Kortes Reservoir (Kortes Dam)</t>
  </si>
  <si>
    <t>0545-Pick-Sloan Missouri Basin Program-Oregon Trail Division-Kortes Unit</t>
  </si>
  <si>
    <t>Kortes Reservoir</t>
  </si>
  <si>
    <t>Kortes Dam</t>
  </si>
  <si>
    <t>Laguna Diversion</t>
  </si>
  <si>
    <t>0035-Yuma Project</t>
  </si>
  <si>
    <t>Laguna Diversion Reservoir</t>
  </si>
  <si>
    <t>Laguna Diversion Dam</t>
  </si>
  <si>
    <t>Lahontan</t>
  </si>
  <si>
    <t>USGS Lahontan Res NR Fallon, NV - USGS-10312100</t>
  </si>
  <si>
    <t>Lahontan Res NR Fallon, NV - USGS-10312100; https://www.troa.net/tis/</t>
  </si>
  <si>
    <t>Lahontan Reservoir (Lahontan Dam)</t>
  </si>
  <si>
    <t>Lahontan Reservoir</t>
  </si>
  <si>
    <t>Lahontan Dam</t>
  </si>
  <si>
    <t>Lake Frances</t>
  </si>
  <si>
    <t>Lake Frances Reservoir</t>
  </si>
  <si>
    <t>Lake Waha Feeder Canal Diversion</t>
  </si>
  <si>
    <t>0336-Lewiston Orchards Project</t>
  </si>
  <si>
    <t>Lake Waha Feeder Canal Diversion Pool</t>
  </si>
  <si>
    <t>Lake Waha Feeder Canal Diversion Dam</t>
  </si>
  <si>
    <t>Lauro</t>
  </si>
  <si>
    <t>Lauro Reservoir</t>
  </si>
  <si>
    <t>Lauro Dam</t>
  </si>
  <si>
    <t>Leasburg Diversion</t>
  </si>
  <si>
    <t>Leasburg Diversion Reservoir</t>
  </si>
  <si>
    <t>Leasburg Diversion Dam</t>
  </si>
  <si>
    <t>Lemon</t>
  </si>
  <si>
    <t>Lemon Reservoir (Lemon Dam)</t>
  </si>
  <si>
    <t>Lemon Reservoir</t>
  </si>
  <si>
    <t>Lemon Dam</t>
  </si>
  <si>
    <t>Lemon Reservoir and Dam</t>
  </si>
  <si>
    <t>Leon Creek Diversion</t>
  </si>
  <si>
    <t>Leon Creek Diversion Pool</t>
  </si>
  <si>
    <t>Leon Creek Diversion Dam</t>
  </si>
  <si>
    <t>Lewiston</t>
  </si>
  <si>
    <t>Lewiston Lake (Lewiston Dam)</t>
  </si>
  <si>
    <t>Lewiston Lake</t>
  </si>
  <si>
    <t>Lewiston Dam</t>
  </si>
  <si>
    <t xml:space="preserve">Lewiston Lake Dam and Powerplant </t>
  </si>
  <si>
    <t>Lilly Pad Diversion</t>
  </si>
  <si>
    <t>Lilly Pad Diversion Pool</t>
  </si>
  <si>
    <t>Lilly Pad Diversion Dam</t>
  </si>
  <si>
    <t>Lima</t>
  </si>
  <si>
    <t>Lima Reservoir Upstream of Clark Canyon Reservoir</t>
  </si>
  <si>
    <t>Little Beaver Creek Diversion</t>
  </si>
  <si>
    <t>Little Beaver Creek Diversion Pool</t>
  </si>
  <si>
    <t>Little Beaver Creek Diversion Dam</t>
  </si>
  <si>
    <t>Little Hell Creek Diversion</t>
  </si>
  <si>
    <t>Little Hell Creek Diversion Reservoir</t>
  </si>
  <si>
    <t>Little Hell Creek Diversion Dam</t>
  </si>
  <si>
    <t>Little Oso Diversion</t>
  </si>
  <si>
    <t>Little Oso Diversion Pool</t>
  </si>
  <si>
    <t>Little Oso Diversion Dam</t>
  </si>
  <si>
    <t>Little Panoche</t>
  </si>
  <si>
    <t>0805-Central Valley Project-West San Joaquin Division-San Luis Unit</t>
  </si>
  <si>
    <t>Little Panoche Reservoir</t>
  </si>
  <si>
    <t>Little Panoche Detention Dam</t>
  </si>
  <si>
    <t>Little Robber</t>
  </si>
  <si>
    <t>Little Robber Lake and Little Robber Detention Dam</t>
  </si>
  <si>
    <t>Little Robber Detention Dam</t>
  </si>
  <si>
    <t>Little Sandy Diversion</t>
  </si>
  <si>
    <t>Little Sandy Diversion Pool</t>
  </si>
  <si>
    <t>Little Sandy Diversion Dam</t>
  </si>
  <si>
    <t>Little Wood River</t>
  </si>
  <si>
    <t>Little Wood River Reservoir (Little Wood River Dam)</t>
  </si>
  <si>
    <t>0811-Little Wood River Project</t>
  </si>
  <si>
    <t>Little Wood River Reservoir</t>
  </si>
  <si>
    <t>Little Wood River Dam</t>
  </si>
  <si>
    <t>Little Wood River Reservoir and Dam (WOD)</t>
  </si>
  <si>
    <t>Livingston</t>
  </si>
  <si>
    <t>Lake Livingston and Lake Livingston Dam</t>
  </si>
  <si>
    <t>Lake Livingston</t>
  </si>
  <si>
    <t>Los Banos</t>
  </si>
  <si>
    <t>Los Banos Reservoir</t>
  </si>
  <si>
    <t>Los Banos Creek Detention Dam</t>
  </si>
  <si>
    <t>Lost</t>
  </si>
  <si>
    <t>Lost Lake</t>
  </si>
  <si>
    <t>Lost Lake (Lost Lake Dam)</t>
  </si>
  <si>
    <t>Lost Lake Dam</t>
  </si>
  <si>
    <t>Lost Creek</t>
  </si>
  <si>
    <t>Lost Creek Reservoir (Lost Creek Dam)</t>
  </si>
  <si>
    <t>Lost Creek Reservoir</t>
  </si>
  <si>
    <t>Lost Creek Dam</t>
  </si>
  <si>
    <t>Lost Creek Reservoir and Dam</t>
  </si>
  <si>
    <t>Lost River</t>
  </si>
  <si>
    <t>Lost River Reservoir</t>
  </si>
  <si>
    <t>Lost River Diversion Dam</t>
  </si>
  <si>
    <t>Loutzenhizer Diversion</t>
  </si>
  <si>
    <t>Loutzenhizer Diversion Pool</t>
  </si>
  <si>
    <t>Loutzenhizer Diversion Dam</t>
  </si>
  <si>
    <t>Lovewell</t>
  </si>
  <si>
    <t>GP Hydromet - LVKS</t>
  </si>
  <si>
    <t>Lovewell Reservoir (Lovewell Dam)</t>
  </si>
  <si>
    <t>Lovewell Reservoir</t>
  </si>
  <si>
    <t>Lovewell Dam</t>
  </si>
  <si>
    <t>Lovewell Reservoir and Dam</t>
  </si>
  <si>
    <t>Lowell</t>
  </si>
  <si>
    <t>Lowell (Deer Flat Dam)</t>
  </si>
  <si>
    <t>Lake Lowell (Deer Flat Dam)</t>
  </si>
  <si>
    <t>Lake Lowell</t>
  </si>
  <si>
    <t>Deer Flat Dam</t>
  </si>
  <si>
    <t>Lake Lowell and Deer Flat Dams (LOW)</t>
  </si>
  <si>
    <t>Deer Flat</t>
  </si>
  <si>
    <t>Lower Yellowstone Diversion</t>
  </si>
  <si>
    <t>0014-Lower Yellowstone Project</t>
  </si>
  <si>
    <t>Lower Yellowstone Diversion Pool</t>
  </si>
  <si>
    <t>Lower Yellowstone Diversion Dam</t>
  </si>
  <si>
    <t>Lucky Peak</t>
  </si>
  <si>
    <t>USACE https://water.usace.army.mil/cda/documents/wc/3412/Boise%20WCM%202025%20Redacted.pdf Table 2-15</t>
  </si>
  <si>
    <t>https://water.usace.army.mil/overview/nww/locations/luc</t>
  </si>
  <si>
    <t>Lucky Peak Reservoir (Lucky Peak Dam)</t>
  </si>
  <si>
    <t>Lucky Peak Lake and Dam (LUC)</t>
  </si>
  <si>
    <t>Madera Canal Equalization</t>
  </si>
  <si>
    <t>Madera Canal Equalization Reservoir</t>
  </si>
  <si>
    <t>Madera Canal Equalization Reservoir Dikes</t>
  </si>
  <si>
    <t>Madera Diversion</t>
  </si>
  <si>
    <t>0287-Balmorhea Project</t>
  </si>
  <si>
    <t>Madera Diversion Pool</t>
  </si>
  <si>
    <t>Madera Diversion Dam</t>
  </si>
  <si>
    <t>Malone Diversion</t>
  </si>
  <si>
    <t>Malone Diversion Reservoir</t>
  </si>
  <si>
    <t>Malone Diversion Dam</t>
  </si>
  <si>
    <t>Mancos Diversion</t>
  </si>
  <si>
    <t>Mancos Diversion Pool</t>
  </si>
  <si>
    <t>Mancos Diversion Dam</t>
  </si>
  <si>
    <t>Mann</t>
  </si>
  <si>
    <t>Mann (Reservoir A Dam)</t>
  </si>
  <si>
    <t>Mann Lake (Reservoir A Dam)</t>
  </si>
  <si>
    <t>Mann Lake</t>
  </si>
  <si>
    <t>Reservoir A Dam</t>
  </si>
  <si>
    <t>Mann Lake and Reservoir A Dam (RSA)</t>
  </si>
  <si>
    <t>Reservoir A</t>
  </si>
  <si>
    <t>Mann Creek</t>
  </si>
  <si>
    <t>Mann Creek Reservoir (Mann Creek Dam)</t>
  </si>
  <si>
    <t>0354-Mann Creek Project</t>
  </si>
  <si>
    <t>Mann Creek Reservoir</t>
  </si>
  <si>
    <t>Mann Creek Dam</t>
  </si>
  <si>
    <t>Mann Creek Reservoir and Dam (MAN)</t>
  </si>
  <si>
    <t>Marble Bluff</t>
  </si>
  <si>
    <t>0320-Washoe Project</t>
  </si>
  <si>
    <t>Marble Bluff Pool</t>
  </si>
  <si>
    <t>Marble Bluff Dam</t>
  </si>
  <si>
    <t>Martinez</t>
  </si>
  <si>
    <t>Martinez Reservoir</t>
  </si>
  <si>
    <t>Martinez Dam</t>
  </si>
  <si>
    <t>Marys</t>
  </si>
  <si>
    <t>Marys Lake (Marys Lake Dikes)</t>
  </si>
  <si>
    <t>Marys Lake</t>
  </si>
  <si>
    <t>Marys Lake Dikes</t>
  </si>
  <si>
    <t>Mason</t>
  </si>
  <si>
    <t>Mason Reservoir (Mason Dam)</t>
  </si>
  <si>
    <t>0569-Baker Project-Upper Division</t>
  </si>
  <si>
    <t>Mason Reservoir</t>
  </si>
  <si>
    <t>Mason Dam</t>
  </si>
  <si>
    <t>Phillips Lake and Mason Dam (PHL)</t>
  </si>
  <si>
    <t>Phillips</t>
  </si>
  <si>
    <t>RISE Location is Phillips Lake and Mason Dam</t>
  </si>
  <si>
    <t>Maxwell Canal Diversion</t>
  </si>
  <si>
    <t>Maxwell Canal Diversion Pool</t>
  </si>
  <si>
    <t>Maxwell Canal Diversion Dam</t>
  </si>
  <si>
    <t>McGee Creek</t>
  </si>
  <si>
    <t>McGee Creek Reservoir (McGee Creek Dam)</t>
  </si>
  <si>
    <t>1283-McGee Creek Project</t>
  </si>
  <si>
    <t>McGee Creek Reservoir</t>
  </si>
  <si>
    <t>Mcgee Creek Dam</t>
  </si>
  <si>
    <t>Mcgee Creek Reservoir and Dam</t>
  </si>
  <si>
    <t>Mcgee Creek</t>
  </si>
  <si>
    <t>McKay</t>
  </si>
  <si>
    <t>McKay Reservoir (McKay Dam)</t>
  </si>
  <si>
    <t>McKay Reservoir</t>
  </si>
  <si>
    <t>McKay Dam</t>
  </si>
  <si>
    <t>McKay Reservoir and Dam (MCK)</t>
  </si>
  <si>
    <t>McPhee</t>
  </si>
  <si>
    <t>McPhee Reservoir (McPhee Dam)</t>
  </si>
  <si>
    <t>0071-Dolores Project</t>
  </si>
  <si>
    <t>McPhee Reservoir</t>
  </si>
  <si>
    <t>McPhee Dam</t>
  </si>
  <si>
    <t>Mcphee Reservoir and Dam</t>
  </si>
  <si>
    <t>Mcphee</t>
  </si>
  <si>
    <t>Mead</t>
  </si>
  <si>
    <t>Mead (Hoover Dam)</t>
  </si>
  <si>
    <t>Lake Mead (Hoover Dam)</t>
  </si>
  <si>
    <t>0045-Boulder Canyon Project-Hoover Division</t>
  </si>
  <si>
    <t>Lake Mead</t>
  </si>
  <si>
    <t>Hoover Dam</t>
  </si>
  <si>
    <t>Lake Mead Hoover Dam and Powerplant</t>
  </si>
  <si>
    <t>Hoover</t>
  </si>
  <si>
    <t>Meeks Cabin</t>
  </si>
  <si>
    <t>Meeks Cabin Reservoir (Meeks Cabin Dam)</t>
  </si>
  <si>
    <t>0145-Lyman Project</t>
  </si>
  <si>
    <t>Meeks Cabin Reservoir</t>
  </si>
  <si>
    <t>Meeks Cabin Dam</t>
  </si>
  <si>
    <t>Meeks Cabin Reservoir and Dam</t>
  </si>
  <si>
    <t>Meredith</t>
  </si>
  <si>
    <t>GP Hydromet - SANFORD (has storage)</t>
  </si>
  <si>
    <t>Meredith (Sanford Dam)</t>
  </si>
  <si>
    <t>Lake Meredith (Sanford Dam)</t>
  </si>
  <si>
    <t>0662-Canadian River Project</t>
  </si>
  <si>
    <t>Lake Meredith</t>
  </si>
  <si>
    <t>Sanford Dam</t>
  </si>
  <si>
    <t>Merritt</t>
  </si>
  <si>
    <t>GP Hydromet - MRNE</t>
  </si>
  <si>
    <t>Merritt Reservoir (Merritt Dam)</t>
  </si>
  <si>
    <t>0719-Pick-Sloan Missouri Basin Program-Sandhills Division-Ainsworth Unit</t>
  </si>
  <si>
    <t>Merritt Reservoir</t>
  </si>
  <si>
    <t>Merritt Dam</t>
  </si>
  <si>
    <t>Merritt Reservoir and Dam</t>
  </si>
  <si>
    <t>Mesilla Diversion</t>
  </si>
  <si>
    <t>Mesilla Diversion Reservoir</t>
  </si>
  <si>
    <t>Mesilla Diversion Dam</t>
  </si>
  <si>
    <t>Middle Cottonwood</t>
  </si>
  <si>
    <t>Middle Cottonwood Reservoir</t>
  </si>
  <si>
    <t>Middle Cottonwood Dam</t>
  </si>
  <si>
    <t>Middle Cunningham Creek Diversion</t>
  </si>
  <si>
    <t>Middle Cunningham Creek Diversion Pool</t>
  </si>
  <si>
    <t>Middle Cunningham Creek Diversion Dam</t>
  </si>
  <si>
    <t>Midway Creek Diversion</t>
  </si>
  <si>
    <t>Midway Creek Diversion Pool</t>
  </si>
  <si>
    <t>Midway Creek Diversion Dam</t>
  </si>
  <si>
    <t>Miller Creek Diversion</t>
  </si>
  <si>
    <t>Miller Creek Diversion Pool</t>
  </si>
  <si>
    <t>Miller Creek Diversion Dam</t>
  </si>
  <si>
    <t>Millerton</t>
  </si>
  <si>
    <t>Millerton (Friant Dam)</t>
  </si>
  <si>
    <t>Millerton Lake (Friant Dam)</t>
  </si>
  <si>
    <t>Millerton Lake</t>
  </si>
  <si>
    <t>Friant Dam</t>
  </si>
  <si>
    <t>Millerton Lake and Friant Dam</t>
  </si>
  <si>
    <t>Friant</t>
  </si>
  <si>
    <t>Milner</t>
  </si>
  <si>
    <t>Milner Lake and Dam (MIL)</t>
  </si>
  <si>
    <t>Minatare</t>
  </si>
  <si>
    <t>Lake Minatare (Minatare Dam)</t>
  </si>
  <si>
    <t>Lake Minatare</t>
  </si>
  <si>
    <t>Minatare Dam</t>
  </si>
  <si>
    <t>Lake Minatare and Dam</t>
  </si>
  <si>
    <t>Mohave</t>
  </si>
  <si>
    <t>Mohave (Davis Dam)</t>
  </si>
  <si>
    <t>Lake Mohave (Davis Dam)</t>
  </si>
  <si>
    <t>Lake Mohave</t>
  </si>
  <si>
    <t>Davis Dam</t>
  </si>
  <si>
    <t>Lake Mohave Davis Dam and Powerplant</t>
  </si>
  <si>
    <t>Molina Equalizing</t>
  </si>
  <si>
    <t>Molina Equalizing Reservoir</t>
  </si>
  <si>
    <t>Molina Equalizing Reservoir Dam</t>
  </si>
  <si>
    <t>Montrose &amp; Delta Diversion</t>
  </si>
  <si>
    <t>Montrose &amp; Delta Diversion Pool</t>
  </si>
  <si>
    <t>Montrose &amp; Delta Diversion Dam</t>
  </si>
  <si>
    <t>Moon</t>
  </si>
  <si>
    <t>Moon Lake</t>
  </si>
  <si>
    <t>Moon Lake (Moon Lake Dam)</t>
  </si>
  <si>
    <t>0209-Moon Lake Project</t>
  </si>
  <si>
    <t>Moon Lake Dam</t>
  </si>
  <si>
    <t>Moon Lake Reservoir and Dam</t>
  </si>
  <si>
    <t>RISE Location is Moon Lake Reservoir</t>
  </si>
  <si>
    <t>Mormon Creek Diversion</t>
  </si>
  <si>
    <t>Mormon Creek Diversion Pool</t>
  </si>
  <si>
    <t>Mormon Creek Diversion Dam</t>
  </si>
  <si>
    <t>Morrow Point</t>
  </si>
  <si>
    <t>Morrow Point Reservoir (Morrow Point Dam)</t>
  </si>
  <si>
    <t>Morrow Point Reservoir</t>
  </si>
  <si>
    <t>Morrow Point Dam</t>
  </si>
  <si>
    <t>Morrow Point Reservoir Dam and Powerplant</t>
  </si>
  <si>
    <t>Moses</t>
  </si>
  <si>
    <t>Moses Lake</t>
  </si>
  <si>
    <t>Moses Lake South Dam</t>
  </si>
  <si>
    <t>Mt. Elbert Forebay</t>
  </si>
  <si>
    <t>Mt. Elbert Forebay (Mt. Elbert Forebay Dam)</t>
  </si>
  <si>
    <t>Mt. Elbert Forebay Dam</t>
  </si>
  <si>
    <t>Mount Elbert Forebay Reservoir and Dam</t>
  </si>
  <si>
    <t>Mount Elbert Forebay</t>
  </si>
  <si>
    <t>Nambe Falls</t>
  </si>
  <si>
    <t>Nambe Falls Reservoir (Nambe Falls Dam)</t>
  </si>
  <si>
    <t>Nambe Falls Reservoir</t>
  </si>
  <si>
    <t>Nambe Falls Dam</t>
  </si>
  <si>
    <t xml:space="preserve">Nambe Falls Reservoir and Dam </t>
  </si>
  <si>
    <t>Nasworthy</t>
  </si>
  <si>
    <t>City of San Angelo</t>
  </si>
  <si>
    <t>storage data in RISE. Need capacity</t>
  </si>
  <si>
    <t>Lake Nasworthy (Nasworthy Dam)</t>
  </si>
  <si>
    <t>Lake Nasworthy and Dam</t>
  </si>
  <si>
    <t>Natoma</t>
  </si>
  <si>
    <t>Natoma (Nimbus Dam)</t>
  </si>
  <si>
    <t>Lake Natoma (Nimbus Dam)</t>
  </si>
  <si>
    <t>Lake Natoma</t>
  </si>
  <si>
    <t>Nimbus Dam</t>
  </si>
  <si>
    <t>Lake Natoma Nimbus Dam and Powerplant</t>
  </si>
  <si>
    <t>Navajo</t>
  </si>
  <si>
    <t>Navajo Reservoir (Navajo Dam)</t>
  </si>
  <si>
    <t>0711-Colorado River Storage Project-San Juan Division-Navajo Unit</t>
  </si>
  <si>
    <t>Navajo Reservoir</t>
  </si>
  <si>
    <t>Navajo Dam</t>
  </si>
  <si>
    <t>Navajo Reservoir and Dam</t>
  </si>
  <si>
    <t>Nelson</t>
  </si>
  <si>
    <t>Nelson (Nelson Dikes)</t>
  </si>
  <si>
    <t>Nelson Reservoir (Nelson Dikes)</t>
  </si>
  <si>
    <t>Nelson Reservoir</t>
  </si>
  <si>
    <t>Nelson Dikes</t>
  </si>
  <si>
    <t>Nelson Reservoir and Nelson Dikes</t>
  </si>
  <si>
    <t>New Johns</t>
  </si>
  <si>
    <t>New Johns Lake</t>
  </si>
  <si>
    <t>New Melones</t>
  </si>
  <si>
    <t>New Melones Lake (New Melones Dam)</t>
  </si>
  <si>
    <t>0881-Central Valley Project-East Side Division-New Melones Unit</t>
  </si>
  <si>
    <t>New Melones Lake</t>
  </si>
  <si>
    <t>New Melones Dam</t>
  </si>
  <si>
    <t>New Melones Lake Dam and Powerplant</t>
  </si>
  <si>
    <t>Newton</t>
  </si>
  <si>
    <t>Newton Reservoir (Newton Dam)</t>
  </si>
  <si>
    <t>0292-Newton Project</t>
  </si>
  <si>
    <t>Newton Reservoir</t>
  </si>
  <si>
    <t>Newton Dam</t>
  </si>
  <si>
    <t>Newton Reservoir and Dam</t>
  </si>
  <si>
    <t>Nighthorse</t>
  </si>
  <si>
    <t>Nighthorse (Ridges Basin Dam)</t>
  </si>
  <si>
    <t>Lake Nighthorse (Ridges Basin Dam)</t>
  </si>
  <si>
    <t>0069-Animas-La Plata Project</t>
  </si>
  <si>
    <t>Lake Nighthorse</t>
  </si>
  <si>
    <t>Ridges Basin Dam</t>
  </si>
  <si>
    <t>Lake Nighthorse and Ridges Basin Dam</t>
  </si>
  <si>
    <t>Ridges Basin</t>
  </si>
  <si>
    <t>No Name Creek Diversion</t>
  </si>
  <si>
    <t>No Name Creek Diversion Pool</t>
  </si>
  <si>
    <t>No Name Creek Diversion Dam</t>
  </si>
  <si>
    <t>North Cunningham Creek Diversion</t>
  </si>
  <si>
    <t>North Cunningham Creek Diversion Pool</t>
  </si>
  <si>
    <t>North Cunningham Creek Diversion Dam</t>
  </si>
  <si>
    <t>North Fork Diversion</t>
  </si>
  <si>
    <t>North Fork Diversion Pool</t>
  </si>
  <si>
    <t>North Fork Diversion Dam</t>
  </si>
  <si>
    <t>North Fork Salmon Creek Diversion</t>
  </si>
  <si>
    <t>North Fork Salmon Creek Diversion Pool</t>
  </si>
  <si>
    <t>North Fork Salmon Creek Diversion Dam</t>
  </si>
  <si>
    <t>Northside Diversion</t>
  </si>
  <si>
    <t>Northside Diversion Pool</t>
  </si>
  <si>
    <t>Northside Diversion Dam</t>
  </si>
  <si>
    <t>Oak Street Diversion</t>
  </si>
  <si>
    <t>Oak Street Diversion Pool</t>
  </si>
  <si>
    <t>Oak Street Diversion Dam</t>
  </si>
  <si>
    <t>Ochoco</t>
  </si>
  <si>
    <t>Ochoco Reservoir (Ochoco Dam)</t>
  </si>
  <si>
    <t>Ochoco Reservoir</t>
  </si>
  <si>
    <t>Ochoco Dam</t>
  </si>
  <si>
    <t>Ochoco Reservoir and Dam (OCH)</t>
  </si>
  <si>
    <t>Of The Arbuckles</t>
  </si>
  <si>
    <t>GP Hydromet - ARBUCK (has storage)</t>
  </si>
  <si>
    <t>Lake Of The Arbuckles (Arbuckle Dam)</t>
  </si>
  <si>
    <t>0882-Arbuckle Project</t>
  </si>
  <si>
    <t>Lake Of The Arbuckles</t>
  </si>
  <si>
    <t>Arbuckle Dam</t>
  </si>
  <si>
    <t>Ogden Valley Diversion</t>
  </si>
  <si>
    <t>Ogden Valley Diversion Pool</t>
  </si>
  <si>
    <t>Ogden Valley Diversion Dam</t>
  </si>
  <si>
    <t>Ogden-Brigham Equalizing Reservoir 2</t>
  </si>
  <si>
    <t>0236-Ogden River Project</t>
  </si>
  <si>
    <t>Ogden-Brigham Reservoirs-Dams</t>
  </si>
  <si>
    <t>Ogden-Brigham Wasteway Reservoir 2</t>
  </si>
  <si>
    <t>Ogden-Brigham Wasteway Reservoir 3</t>
  </si>
  <si>
    <t>Ogden-Brigham Wasteway Reservoir 4</t>
  </si>
  <si>
    <t>Ogden-Brigham Wasteway Reservoir 5</t>
  </si>
  <si>
    <t>Ogden-Brigham Wasteway Reservoir 6</t>
  </si>
  <si>
    <t>Old River</t>
  </si>
  <si>
    <t>Old River Reservoir</t>
  </si>
  <si>
    <t>Old River Dam</t>
  </si>
  <si>
    <t>Oles Pond</t>
  </si>
  <si>
    <t>Oles Pond Dam</t>
  </si>
  <si>
    <t>Olmsted Diversion</t>
  </si>
  <si>
    <t>Olmsted Diversion Pool</t>
  </si>
  <si>
    <t>Olmsted Diversion Dam</t>
  </si>
  <si>
    <t>OMID Regulating</t>
  </si>
  <si>
    <t>OMID Regulating Reservoir</t>
  </si>
  <si>
    <t>OMID Regulating Reservoir Dam</t>
  </si>
  <si>
    <t>O'Neill Forebay</t>
  </si>
  <si>
    <t>O'Neill Forebay Dam</t>
  </si>
  <si>
    <t>Oroville</t>
  </si>
  <si>
    <t>Lake Oroville</t>
  </si>
  <si>
    <t>Ortega</t>
  </si>
  <si>
    <t>Ortega Reservoir</t>
  </si>
  <si>
    <t>Ortega Dam</t>
  </si>
  <si>
    <t>Oso Diversion</t>
  </si>
  <si>
    <t>Oso Diversion Pool</t>
  </si>
  <si>
    <t>Oso Diversion Dam</t>
  </si>
  <si>
    <t>Owyhee</t>
  </si>
  <si>
    <t>Lake Owyhee (Owyhee Dam)</t>
  </si>
  <si>
    <t>0048-Owyhee Project</t>
  </si>
  <si>
    <t>Lake Owyhee</t>
  </si>
  <si>
    <t>Owyhee Dam</t>
  </si>
  <si>
    <t>Lake Owyhee and Owyhee Dam (OWY)</t>
  </si>
  <si>
    <t>Pactola</t>
  </si>
  <si>
    <t>Pactola Reservoir (Pactola Dam)</t>
  </si>
  <si>
    <t>0494-Pick-Sloan Missouri Basin Program-Cheyenne Division-Rapid Valley Unit</t>
  </si>
  <si>
    <t>Pactola Reservoir</t>
  </si>
  <si>
    <t>Pactola Dam</t>
  </si>
  <si>
    <t>Pactola Reservoir and Dam</t>
  </si>
  <si>
    <t>Palisades</t>
  </si>
  <si>
    <t>Palisades Reservoir (Palisades Dam)</t>
  </si>
  <si>
    <t>0456-Palisades Project</t>
  </si>
  <si>
    <t>Palisades Reservoir</t>
  </si>
  <si>
    <t>Palisades Dam</t>
  </si>
  <si>
    <t>Palisades Reservoir, Dam, and Powerplant (PAL)</t>
  </si>
  <si>
    <t>Paonia</t>
  </si>
  <si>
    <t>Paonia Reservoir (Paonia Dam)</t>
  </si>
  <si>
    <t>Paonia Reservoir</t>
  </si>
  <si>
    <t>Paonia Dam</t>
  </si>
  <si>
    <t>Paonia Reservoir and Dam</t>
  </si>
  <si>
    <t>Paradise Diversion</t>
  </si>
  <si>
    <t>Paradise Diversion Reservoir</t>
  </si>
  <si>
    <t>Paradise Diversion Dam</t>
  </si>
  <si>
    <t>Park Creek Diversion</t>
  </si>
  <si>
    <t>Park Creek Diversion Pool</t>
  </si>
  <si>
    <t>Park Creek Diversion Dam</t>
  </si>
  <si>
    <t>Pathfinder</t>
  </si>
  <si>
    <t>Pathfinder Reservoir (Pathfinder Dam)</t>
  </si>
  <si>
    <t>Pathfinder Reservoir</t>
  </si>
  <si>
    <t>Pathfinder Dam</t>
  </si>
  <si>
    <t>Pathfinder Reservoir and Dam</t>
  </si>
  <si>
    <t>Payette</t>
  </si>
  <si>
    <t>Payette Lake and Payette Lake Dam (PAY)</t>
  </si>
  <si>
    <t>Payette Lake</t>
  </si>
  <si>
    <t>Percha Arroyo Diversion</t>
  </si>
  <si>
    <t>Percha Arroyo Diversion Reservoir</t>
  </si>
  <si>
    <t>Percha Arroyo Diversion Dam</t>
  </si>
  <si>
    <t>Percha Diversion</t>
  </si>
  <si>
    <t>Percha Diversion Reservoir</t>
  </si>
  <si>
    <t>Percha Diversion Dam</t>
  </si>
  <si>
    <t>Phoenix Canal Diversion</t>
  </si>
  <si>
    <t>Phoenix Canal Diversion Pool</t>
  </si>
  <si>
    <t>Phoenix Canal Diversion Dam</t>
  </si>
  <si>
    <t>Pilot Butte</t>
  </si>
  <si>
    <t>Pilot Butte Reservoir (Pilot Butte Dam)</t>
  </si>
  <si>
    <t>Pilot Butte Reservoir</t>
  </si>
  <si>
    <t>Pilot Butte Dam</t>
  </si>
  <si>
    <t>Pilot Butte Reservoir and Dam</t>
  </si>
  <si>
    <t>Pineview</t>
  </si>
  <si>
    <t>Pineview Reservoir (Pineview Dam)</t>
  </si>
  <si>
    <t>Pineview Reservoir</t>
  </si>
  <si>
    <t>Pineview Dam</t>
  </si>
  <si>
    <t>Pineview Reservoir Dam and Powerplant</t>
  </si>
  <si>
    <t>Pinewood</t>
  </si>
  <si>
    <t>Pinewood (Rattlesnake Dam)</t>
  </si>
  <si>
    <t>Pinewood Lake (Rattlesnake Dam)</t>
  </si>
  <si>
    <t>Pinewood Lake</t>
  </si>
  <si>
    <t>Rattlesnake Dam</t>
  </si>
  <si>
    <t xml:space="preserve">Pinewood Reservoir and Rattlesnake Dam </t>
  </si>
  <si>
    <t>Rattlesnake</t>
  </si>
  <si>
    <t>Pishkun</t>
  </si>
  <si>
    <t>Pishkun (Pishkun Dikes)</t>
  </si>
  <si>
    <t>Pishkun Reservoir (Pishkun Dikes)</t>
  </si>
  <si>
    <t>Pishkun Reservoir</t>
  </si>
  <si>
    <t>Pishkun Dikes</t>
  </si>
  <si>
    <t>Pishkun Reservoir and Dikes</t>
  </si>
  <si>
    <t>Platoro</t>
  </si>
  <si>
    <t>Platoro Reservoir (Platoro Dam)</t>
  </si>
  <si>
    <t>0253-San Luis Valley Project</t>
  </si>
  <si>
    <t>Platoro Reservoir</t>
  </si>
  <si>
    <t>Platoro Dam</t>
  </si>
  <si>
    <t xml:space="preserve">Platoro Reservoir and Dam </t>
  </si>
  <si>
    <t>Pleasant</t>
  </si>
  <si>
    <t>0344-Central Arizona Project</t>
  </si>
  <si>
    <t>Lake Pleasant</t>
  </si>
  <si>
    <t>New Waddell Dam</t>
  </si>
  <si>
    <t>Pole Hill Afterbay</t>
  </si>
  <si>
    <t>Pole Hill Afterbay Pool</t>
  </si>
  <si>
    <t>Pole Hill Afterbay Dam</t>
  </si>
  <si>
    <t>Pole Hill Creek Diversion</t>
  </si>
  <si>
    <t>Pole Hill Creek Diversion Pool</t>
  </si>
  <si>
    <t>Pole Hill Creek Diversion Dam</t>
  </si>
  <si>
    <t>Potholes</t>
  </si>
  <si>
    <t>Potholes (O'Sullivan Dam)</t>
  </si>
  <si>
    <t>Potholes Reservoir (O'Sullivan Dam)</t>
  </si>
  <si>
    <t>Potholes Reservoir</t>
  </si>
  <si>
    <t>O'Sullivan Dam</t>
  </si>
  <si>
    <t>Potholes Reservoir and O'Sullivan Dam (POT)</t>
  </si>
  <si>
    <t>O'Sullivan</t>
  </si>
  <si>
    <t>Powell</t>
  </si>
  <si>
    <t>Powell (Glen Canyon Dam)</t>
  </si>
  <si>
    <t>Lake Powell (Glen Canyon Dam)</t>
  </si>
  <si>
    <t>0557-Colorado River Storage Project-Middle River Division-Glen Canyon Unit</t>
  </si>
  <si>
    <t>Lake Powell</t>
  </si>
  <si>
    <t>Glen Canyon Dam</t>
  </si>
  <si>
    <t>Lake Powell Glen Canyon Dam and Powerplant</t>
  </si>
  <si>
    <t>Power Canal Diversion</t>
  </si>
  <si>
    <t>Power Canal Diversion Pool</t>
  </si>
  <si>
    <t>Power Canal Diversion Dam</t>
  </si>
  <si>
    <t>Prineville</t>
  </si>
  <si>
    <t>Prineville (Arthur R. Bowman Dam)</t>
  </si>
  <si>
    <t>Prineville Reservoir (Arthur R. Bowman Dam)</t>
  </si>
  <si>
    <t>Prineville Reservoir</t>
  </si>
  <si>
    <t>Arthur R. Bowman Dam</t>
  </si>
  <si>
    <t>Prineville Reservoir and Arthur R. Bowman Dam (PRV)</t>
  </si>
  <si>
    <t>Arthur R. Bowman</t>
  </si>
  <si>
    <t>Prosser Creek</t>
  </si>
  <si>
    <t>USGS Prosser C Res NR Truckee CA - USGS-10340300</t>
  </si>
  <si>
    <t>Prosser C Res NR Truckee CA - USGS-10340300;  https://www.troa.net/tis/</t>
  </si>
  <si>
    <t>Prosser Creek Reservoir (Prosser Creek Dam)</t>
  </si>
  <si>
    <t>Prosser Creek Reservoir</t>
  </si>
  <si>
    <t>Prosser Creek Dam</t>
  </si>
  <si>
    <t>Prosser Diversion</t>
  </si>
  <si>
    <t>Prosser Diversion Reservoir</t>
  </si>
  <si>
    <t>Prosser Diversion Dam</t>
  </si>
  <si>
    <t>Pueblo</t>
  </si>
  <si>
    <t>Pueblo Reservoir (Pueblo Dam)</t>
  </si>
  <si>
    <t>Pueblo Reservoir</t>
  </si>
  <si>
    <t>Pueblo Dam</t>
  </si>
  <si>
    <t>Pueblo Reservoir and Dam</t>
  </si>
  <si>
    <t>Putah Diversion</t>
  </si>
  <si>
    <t>Putah Diversion Reservoir</t>
  </si>
  <si>
    <t>Putah Diversion Dam</t>
  </si>
  <si>
    <t>Rainbow Diversion</t>
  </si>
  <si>
    <t>Rainbow Diversion Reservoir</t>
  </si>
  <si>
    <t>Rainbow Diversion Dam</t>
  </si>
  <si>
    <t>Ralston</t>
  </si>
  <si>
    <t>Ralston Reservoir</t>
  </si>
  <si>
    <t>Ralston Dam</t>
  </si>
  <si>
    <t>Reach 11 Detention Dike</t>
  </si>
  <si>
    <t>Reach 11 Detention Dike Reservoir</t>
  </si>
  <si>
    <t>Reach 11 Detention Dikes</t>
  </si>
  <si>
    <t>Red Fleet</t>
  </si>
  <si>
    <t>Red Fleet Reservoir (Red Fleet Dam)</t>
  </si>
  <si>
    <t>0450-Central Utah Project-Initial Division-Jensen Unit</t>
  </si>
  <si>
    <t>Red Fleet Reservoir</t>
  </si>
  <si>
    <t>Red Fleet Dam</t>
  </si>
  <si>
    <t>Red Fleet Reservoir and Dam</t>
  </si>
  <si>
    <t>Red Willow Creek Diversion</t>
  </si>
  <si>
    <t>GP Hydromet - RWNE (canal gage, no storage, gage height only)</t>
  </si>
  <si>
    <t>Red Willow Creek Diversion Pool</t>
  </si>
  <si>
    <t>Red Willow Creek Diversion Dam</t>
  </si>
  <si>
    <t>Ridgway</t>
  </si>
  <si>
    <t>Ridgway Reservoir (Ridgway Dam)</t>
  </si>
  <si>
    <t>0894-Dallas Creek Project</t>
  </si>
  <si>
    <t>Ridgway Reservoir</t>
  </si>
  <si>
    <t>Ridgway Dam</t>
  </si>
  <si>
    <t>Ridgway Reservoir and Dam</t>
  </si>
  <si>
    <t>Rifle Gap</t>
  </si>
  <si>
    <t>https://www.usbr.gov/uc/water/hydrodata/reservoir_data/961/dashboard.html#storage/</t>
  </si>
  <si>
    <t>Rifle Gap Reservoir (Rifle Gap Dam)</t>
  </si>
  <si>
    <t>0514-Silt Project</t>
  </si>
  <si>
    <t>Rifle Gap Reservoir</t>
  </si>
  <si>
    <t>Rifle Gap Dam</t>
  </si>
  <si>
    <t>Rimrock</t>
  </si>
  <si>
    <t>Rimrock (Tieton Dam)</t>
  </si>
  <si>
    <t>Rimrock Lake (Tieton Dam)</t>
  </si>
  <si>
    <t>Rimrock Lake</t>
  </si>
  <si>
    <t>Tieton Dam</t>
  </si>
  <si>
    <t>Rimrock Lake and Tieton Dam (RIM)</t>
  </si>
  <si>
    <t>Tieton</t>
  </si>
  <si>
    <t>Ririe</t>
  </si>
  <si>
    <t>Ririe Reservoir (Ririe Dam)</t>
  </si>
  <si>
    <t>1308-Ririe Project</t>
  </si>
  <si>
    <t>Ririe Reservoir</t>
  </si>
  <si>
    <t>Ririe Dam</t>
  </si>
  <si>
    <t>Ririe Reservoir and Dam (RIR)</t>
  </si>
  <si>
    <t>Robles-Casitas Diversion</t>
  </si>
  <si>
    <t>Robles-Casitas Diversion Pool</t>
  </si>
  <si>
    <t>Robles Diversion Dam</t>
  </si>
  <si>
    <t>Rockport</t>
  </si>
  <si>
    <t>Rockport (Wanship Dam)</t>
  </si>
  <si>
    <t>Rockport Lake (Wanship Dam)</t>
  </si>
  <si>
    <t>Rockport Lake</t>
  </si>
  <si>
    <t>Wanship Dam</t>
  </si>
  <si>
    <t>Rockport Reservoir and Wanship Dam</t>
  </si>
  <si>
    <t>Wanship</t>
  </si>
  <si>
    <t>Roza Diversion</t>
  </si>
  <si>
    <t>Roza Diversion Reservoir</t>
  </si>
  <si>
    <t>Roza Diversion Dam</t>
  </si>
  <si>
    <t>Rubber Detention Dam</t>
  </si>
  <si>
    <t>Rubber Detention Dam Pool</t>
  </si>
  <si>
    <t>San Luis Canal</t>
  </si>
  <si>
    <t>Ruedi</t>
  </si>
  <si>
    <t>Ruedi Reservoir (Ruedi Dam)</t>
  </si>
  <si>
    <t>Ruedi Reservoir</t>
  </si>
  <si>
    <t>Ruedi Dam</t>
  </si>
  <si>
    <t xml:space="preserve">Ruedi Reservoir and Dam </t>
  </si>
  <si>
    <t>S Line</t>
  </si>
  <si>
    <t>S Line Reservoir</t>
  </si>
  <si>
    <t>S Line (Rattlesnake) Dam</t>
  </si>
  <si>
    <t>Sagouspe</t>
  </si>
  <si>
    <t>Sagouspe Reservoir</t>
  </si>
  <si>
    <t>Sagouspe Diversion Dam</t>
  </si>
  <si>
    <t>Saguaro</t>
  </si>
  <si>
    <t>Saguaro Lake</t>
  </si>
  <si>
    <t>Stewart Mountain Dam</t>
  </si>
  <si>
    <t>Saint Marys Diversion</t>
  </si>
  <si>
    <t>Saint Marys Diversion Reservoir</t>
  </si>
  <si>
    <t>Saint Marys Diversion Dam</t>
  </si>
  <si>
    <t>Salmon Creek Diversion</t>
  </si>
  <si>
    <t>Salmon Creek Diversion Pool</t>
  </si>
  <si>
    <t>Salmon Creek Diversion Dam</t>
  </si>
  <si>
    <t>Salton Sea</t>
  </si>
  <si>
    <t>San Acacia Dam</t>
  </si>
  <si>
    <t>San Acacia Dam Pool</t>
  </si>
  <si>
    <t>San Acacia Diversion Dam</t>
  </si>
  <si>
    <t>San Justo</t>
  </si>
  <si>
    <t>0921-Central Valley Project-San Felipe Division</t>
  </si>
  <si>
    <t>San Justo Reservoir</t>
  </si>
  <si>
    <t>San Justo Dam</t>
  </si>
  <si>
    <t>San Luis</t>
  </si>
  <si>
    <t>San Luis Reservoir</t>
  </si>
  <si>
    <t>B.F. Sisk Dam</t>
  </si>
  <si>
    <t>B.F. Sisk Dam and San Luis Reservoir</t>
  </si>
  <si>
    <t>Sand Coulee Protective Dike</t>
  </si>
  <si>
    <t>Sand Coulee Protective Dike Pool</t>
  </si>
  <si>
    <t>Sand Mesa 1</t>
  </si>
  <si>
    <t>Sand Mesa 1 Reservoir</t>
  </si>
  <si>
    <t>Sand Mesa Dams</t>
  </si>
  <si>
    <t>Sand Mesa 2</t>
  </si>
  <si>
    <t>Sand Mesa 2 Reservoir</t>
  </si>
  <si>
    <t>Santa Rosa</t>
  </si>
  <si>
    <t>USACE https://water.usace.army.mil/overview/spa/locations/santa%20rosa</t>
  </si>
  <si>
    <t>Daily data available in HDB and capacity data available here: https://w3.spa.usace.army.mil/wc/PertinentData/, https://water.usace.army.mil/overview/spa/locations/santa%20rosa</t>
  </si>
  <si>
    <t>Santa Rosa Lake (Santa Rosa Dam)</t>
  </si>
  <si>
    <t>Santa Rosa Lake and Reservoir</t>
  </si>
  <si>
    <t>Sawyer Diversion</t>
  </si>
  <si>
    <t>Sawyer Diversion Pool</t>
  </si>
  <si>
    <t>Sawyer Diversion Dam</t>
  </si>
  <si>
    <t>Scofield</t>
  </si>
  <si>
    <t>Scofield Reservoir (Scofield Dam)</t>
  </si>
  <si>
    <t>0132-Scofield Project</t>
  </si>
  <si>
    <t>Scofield Reservoir</t>
  </si>
  <si>
    <t>Scofield Dam</t>
  </si>
  <si>
    <t>Scofield Reservoir and Dam</t>
  </si>
  <si>
    <t>Scooteney</t>
  </si>
  <si>
    <t>Scooteney (Scooteney Dikes)</t>
  </si>
  <si>
    <t>Scooteney Reservoir (Scooteney Dikes)</t>
  </si>
  <si>
    <t>Scooteney Reservoir</t>
  </si>
  <si>
    <t>Scooteney Dikes</t>
  </si>
  <si>
    <t>Scooteney Reservoir and Dikes (SCT)</t>
  </si>
  <si>
    <t>Selig Diversion</t>
  </si>
  <si>
    <t>Selig Diversion Pool</t>
  </si>
  <si>
    <t>Selig Diversion Dam</t>
  </si>
  <si>
    <t>Seminoe</t>
  </si>
  <si>
    <t>Seminoe Reservoir (Seminoe Dam)</t>
  </si>
  <si>
    <t>Seminoe Reservoir</t>
  </si>
  <si>
    <t>Seminoe Dam</t>
  </si>
  <si>
    <t>Seminoe Reservoir Dam and Powerplant</t>
  </si>
  <si>
    <t>Senator Wash</t>
  </si>
  <si>
    <t>0423-Colorado River Front Work and Levee System Project</t>
  </si>
  <si>
    <t>Senator Wash Reservoir</t>
  </si>
  <si>
    <t>Senator Wash Dam</t>
  </si>
  <si>
    <t>Shadehill</t>
  </si>
  <si>
    <t>Shadehill Reservoir (Shadehill Dam)</t>
  </si>
  <si>
    <t>0276-Pick-Sloan Missouri Basin Program-Grand Division-Shadehill Unit</t>
  </si>
  <si>
    <t>Shadehill Reservoir</t>
  </si>
  <si>
    <t>Shadehill Dam</t>
  </si>
  <si>
    <t>Shadehill Reservoir and Dam</t>
  </si>
  <si>
    <t>Shadow Mountain</t>
  </si>
  <si>
    <t>Shadow Mountain Lake (Shadow Mountain Dam)</t>
  </si>
  <si>
    <t>Shadow Mountain Lake</t>
  </si>
  <si>
    <t>Shadow Mountain Dam</t>
  </si>
  <si>
    <t>Shadow Mountain Lake and Dam</t>
  </si>
  <si>
    <t>Shasta</t>
  </si>
  <si>
    <t>Shasta Lake (Shasta Dam)</t>
  </si>
  <si>
    <t>Shasta Lake</t>
  </si>
  <si>
    <t>Shasta Dam</t>
  </si>
  <si>
    <t>Shasta Lake Dam and Powerplant</t>
  </si>
  <si>
    <t>Sheckler</t>
  </si>
  <si>
    <t>Sheckler Reservoir</t>
  </si>
  <si>
    <t>Sheckler Dam</t>
  </si>
  <si>
    <t>Sherburne</t>
  </si>
  <si>
    <t>Sherburne (Lake Sherburne Dam)</t>
  </si>
  <si>
    <t>Lake Sherburne (Lake Sherburne Dam)</t>
  </si>
  <si>
    <t>Lake Sherburne</t>
  </si>
  <si>
    <t>Lake Sherburne Dam</t>
  </si>
  <si>
    <t>Lake Sherburne and Dam</t>
  </si>
  <si>
    <t>Sheridan County State Lake</t>
  </si>
  <si>
    <t>Silt Diversion Dam</t>
  </si>
  <si>
    <t>Silt Diversion Dam Pool</t>
  </si>
  <si>
    <t>Silver Jack</t>
  </si>
  <si>
    <t>Silver Jack Reservoir (Silver Jack Dam)</t>
  </si>
  <si>
    <t>0860-Bostwick Park Project</t>
  </si>
  <si>
    <t>Silver Jack Reservoir</t>
  </si>
  <si>
    <t>Silver Jack Dam</t>
  </si>
  <si>
    <t>Silver Jack Reservoir and Dam</t>
  </si>
  <si>
    <t>Slaterville Diversion</t>
  </si>
  <si>
    <t>Slaterville Diversion Pool</t>
  </si>
  <si>
    <t>Slaterville Diversion Dam</t>
  </si>
  <si>
    <t>Smith Fork Diversion Dam</t>
  </si>
  <si>
    <t>Smith Fork Diversion Dam Pool</t>
  </si>
  <si>
    <t>Snyder</t>
  </si>
  <si>
    <t>Snyder Lake</t>
  </si>
  <si>
    <t>Mountain Park Dam</t>
  </si>
  <si>
    <t>Soda</t>
  </si>
  <si>
    <t>Soda Lake</t>
  </si>
  <si>
    <t>Soda Lake Dike</t>
  </si>
  <si>
    <t>Soda Creek Diversion</t>
  </si>
  <si>
    <t>Soda Creek Diversion Pool</t>
  </si>
  <si>
    <t>Soda Creek Diversion Dam</t>
  </si>
  <si>
    <t>Soldiers Meadow</t>
  </si>
  <si>
    <t>Soldiers Meadow Reservoir (Soldiers Meadow Dam)</t>
  </si>
  <si>
    <t>Soldiers Meadow Reservoir</t>
  </si>
  <si>
    <t>Soldiers Meadow Dam</t>
  </si>
  <si>
    <t>Soldiers Meadow Reservoir and Dam (SOL)</t>
  </si>
  <si>
    <t>South Cunningham Creek Diversion</t>
  </si>
  <si>
    <t>South Cunningham Creek Diversion Pool</t>
  </si>
  <si>
    <t>South Cunningham Creek Diversion Dam</t>
  </si>
  <si>
    <t>South Fork Diversion</t>
  </si>
  <si>
    <t>South Fork Diversion Pool</t>
  </si>
  <si>
    <t>South Fork Diversion Dam</t>
  </si>
  <si>
    <t>South Fork Little Butte Diversion</t>
  </si>
  <si>
    <t>South Fork Little Butte Diversion Pool</t>
  </si>
  <si>
    <t>South Fork Little Butte Diversion Dam</t>
  </si>
  <si>
    <t>South Ogden Equalizing Reservoir 13</t>
  </si>
  <si>
    <t>South Ogden Equalizing Reservoir-13 Dam</t>
  </si>
  <si>
    <t>South Ogden Equalizing Reservoir 17</t>
  </si>
  <si>
    <t>South Ogden Equalizing Reservoir-17 Dam</t>
  </si>
  <si>
    <t>South Ogden Equalizing Reservoir 20</t>
  </si>
  <si>
    <t>South Ogden Equalizing Reservoir-20 Dam</t>
  </si>
  <si>
    <t>South Ogden Equalizing Reservoir 25</t>
  </si>
  <si>
    <t>South Ogden Equalizing Reservoir-25 Dam</t>
  </si>
  <si>
    <t>South Ogden Equalizing Reservoir 25A</t>
  </si>
  <si>
    <t>South Ogden Equalizing Reservoir-25A Dam</t>
  </si>
  <si>
    <t>South Ogden Equalizing Reservoir 25B</t>
  </si>
  <si>
    <t>South Ogden Equalizing Reservoir-25B Dam</t>
  </si>
  <si>
    <t>South Ogden Equalizing Reservoir 8</t>
  </si>
  <si>
    <t>South Ogden Equalizing Reservoir-8 Dam</t>
  </si>
  <si>
    <t>South Ogden Equalizing Reservoir P</t>
  </si>
  <si>
    <t>South Ogden Equalizing Reservoir-P Dam</t>
  </si>
  <si>
    <t>Spanish Fork Diversion</t>
  </si>
  <si>
    <t>0027-Strawberry Valley Project</t>
  </si>
  <si>
    <t>Spanish Fork Diversion Pool</t>
  </si>
  <si>
    <t>Spanish Fork Diversion Dam</t>
  </si>
  <si>
    <t>Spectacle</t>
  </si>
  <si>
    <t>0888-Chief Joseph Dam Project-Okanogan-Simlkameen Division-Whitestone Coulee Unit</t>
  </si>
  <si>
    <t>Spectacle Lake</t>
  </si>
  <si>
    <t>Spectacle Lake Dike</t>
  </si>
  <si>
    <t>Spring Creek</t>
  </si>
  <si>
    <t>Spring Creek (Spring Creek Debris Dam)</t>
  </si>
  <si>
    <t>Spring Creek Reservoir (Spring Creek Debris Dam)</t>
  </si>
  <si>
    <t>Spring Creek Reservoir</t>
  </si>
  <si>
    <t>Spring Creek Debris Dam</t>
  </si>
  <si>
    <t>Spring Creek Reservoir and Debris Dam</t>
  </si>
  <si>
    <t>Debris</t>
  </si>
  <si>
    <t>Stampede</t>
  </si>
  <si>
    <t xml:space="preserve">USGS STAMPEDE RES NR BOCA CA - USGS-10344300 </t>
  </si>
  <si>
    <t>USGS 10344300 STAMPEDE RES NR BOCA CA</t>
  </si>
  <si>
    <t>Stampede Reservoir (Stampede Dam)</t>
  </si>
  <si>
    <t>Stampede Reservoir</t>
  </si>
  <si>
    <t>Stampede Dam</t>
  </si>
  <si>
    <t>Starvation</t>
  </si>
  <si>
    <t>Starvation Reservoir (Starvation Dam)</t>
  </si>
  <si>
    <t>Starvation Reservoir</t>
  </si>
  <si>
    <t>Starvation Dam</t>
  </si>
  <si>
    <t>Starvation Reservoir and Dam</t>
  </si>
  <si>
    <t>Stateline</t>
  </si>
  <si>
    <t>Stateline Reservoir (Stateline Dam)</t>
  </si>
  <si>
    <t>Stateline Reservoir</t>
  </si>
  <si>
    <t>Stateline Dam</t>
  </si>
  <si>
    <t>Stateline Reservoir and Dam</t>
  </si>
  <si>
    <t>Steinaker</t>
  </si>
  <si>
    <t>Steinaker Reservoir (Steinaker Dam)</t>
  </si>
  <si>
    <t>Steinaker Reservoir</t>
  </si>
  <si>
    <t>Steinaker Dam</t>
  </si>
  <si>
    <t>Steinaker Reservoir and Dam</t>
  </si>
  <si>
    <t>Stoddard Diversion</t>
  </si>
  <si>
    <t>Stoddard Diversion Pool</t>
  </si>
  <si>
    <t>Stoddard Diversion Dam</t>
  </si>
  <si>
    <t>Stony Gorge</t>
  </si>
  <si>
    <t>Stony Gorge Reservoir</t>
  </si>
  <si>
    <t>Stony Gorge Dam</t>
  </si>
  <si>
    <t>Strawberry</t>
  </si>
  <si>
    <t>Strawberry (Soldier Creek Dam)</t>
  </si>
  <si>
    <t>Strawberry Reservoir (Soldier Creek Dam)</t>
  </si>
  <si>
    <t>Strawberry Reservoir</t>
  </si>
  <si>
    <t>Soldier Creek Dam</t>
  </si>
  <si>
    <t>Strawberry Reservoir and Soldier Creek Dam</t>
  </si>
  <si>
    <t>Soldier Creek</t>
  </si>
  <si>
    <t>Sumner</t>
  </si>
  <si>
    <t>Sumner Lake (Sumner Dam)</t>
  </si>
  <si>
    <t>Sumner Lake</t>
  </si>
  <si>
    <t>Sumner Dam</t>
  </si>
  <si>
    <t>Lake Sumner and Dam</t>
  </si>
  <si>
    <t>Sunnyside Diversion</t>
  </si>
  <si>
    <t>Sunnyside Diversion Pool</t>
  </si>
  <si>
    <t>Sunnyside Diversion Dam</t>
  </si>
  <si>
    <t>Swanson</t>
  </si>
  <si>
    <t>GP Hydromet - TRNE (has storage)</t>
  </si>
  <si>
    <t>Swanson (Trenton Dam)</t>
  </si>
  <si>
    <t>Swanson Lake (Trenton Dam)</t>
  </si>
  <si>
    <t>Swanson Lake</t>
  </si>
  <si>
    <t>Trenton Dam</t>
  </si>
  <si>
    <t>Swanson Lake and Trenton Dam</t>
  </si>
  <si>
    <t>Trenton</t>
  </si>
  <si>
    <t>Sweetwater Diversion</t>
  </si>
  <si>
    <t>Sweetwater Diversion Pool</t>
  </si>
  <si>
    <t>Sweetwater Diversion Dam</t>
  </si>
  <si>
    <t>Swift Dam and</t>
  </si>
  <si>
    <t>Swift Dam and Reservoir</t>
  </si>
  <si>
    <t>Tahoe</t>
  </si>
  <si>
    <t>Use TROA data?</t>
  </si>
  <si>
    <t>TROA? USGS?</t>
  </si>
  <si>
    <t>Storage and capacity values represent storage in the reservoir created by Lake Tahoe Dam above the natural rim of Lake Tahoe. Storage values less than zero indicate that the water level in Lake Tahoe is below the natural rim.</t>
  </si>
  <si>
    <t>https://www.troa.net/tis/ https://nevada.usgs.gov/tahoe/LakeElevation.html</t>
  </si>
  <si>
    <t>Tahoe (Lake Tahoe Dam)</t>
  </si>
  <si>
    <t>Lake Tahoe Reservoir (Lake Tahoe Dam)</t>
  </si>
  <si>
    <t>Lake Tahoe</t>
  </si>
  <si>
    <t>Lake Tahoe Dam</t>
  </si>
  <si>
    <t>Taylor Park</t>
  </si>
  <si>
    <t>Taylor Park Reservoir (Taylor Park Dam)</t>
  </si>
  <si>
    <t>Taylor Park Reservoir</t>
  </si>
  <si>
    <t>Taylor Park Dam</t>
  </si>
  <si>
    <t>Taylor Park Reservoir and Dam</t>
  </si>
  <si>
    <t>Terminal</t>
  </si>
  <si>
    <t>Terminal Reservoir</t>
  </si>
  <si>
    <t>Terminal Dam</t>
  </si>
  <si>
    <t>Texana</t>
  </si>
  <si>
    <t>Lake Texana and Palmetto Bend Dam</t>
  </si>
  <si>
    <t>Palmetto Bend</t>
  </si>
  <si>
    <t>Theodore Roosevelt</t>
  </si>
  <si>
    <t>Theodore Roosevelt Lake</t>
  </si>
  <si>
    <t>Theodore Roosevelt Dam</t>
  </si>
  <si>
    <t>Theodore Roosevelt Lake and Dam</t>
  </si>
  <si>
    <t>Thief Valley</t>
  </si>
  <si>
    <t>Thief Valley Reservoir (Thief Valley Dam)</t>
  </si>
  <si>
    <t>0115-Baker Project-Lower Division</t>
  </si>
  <si>
    <t>Thief Valley Reservoir</t>
  </si>
  <si>
    <t>Thief Valley Dam</t>
  </si>
  <si>
    <t>Thief Valley Reservoir and Dam (THF)</t>
  </si>
  <si>
    <t>Three Mile Falls Diversion</t>
  </si>
  <si>
    <t>Three Mile Falls Diversion Reservoir</t>
  </si>
  <si>
    <t>Three Mile Falls Diversion Dam</t>
  </si>
  <si>
    <t>Thunderbird</t>
  </si>
  <si>
    <t>GP Hydromet - NORMAN (has storage)</t>
  </si>
  <si>
    <t>Thunderbird (Norman Dam)</t>
  </si>
  <si>
    <t>Lake Thunderbird (Norman Dam)</t>
  </si>
  <si>
    <t>Lake Thunderbird</t>
  </si>
  <si>
    <t>Norman Dam</t>
  </si>
  <si>
    <t>Lake Thunderbird and Norman Dam</t>
  </si>
  <si>
    <t>Norman</t>
  </si>
  <si>
    <t>Tieton Diversion</t>
  </si>
  <si>
    <t>Tieton Diversion Pool</t>
  </si>
  <si>
    <t>Tieton Diversion Dam</t>
  </si>
  <si>
    <t>Timpanogos Diversion</t>
  </si>
  <si>
    <t>Timpanogos Diversion Pool</t>
  </si>
  <si>
    <t>Timpanogos Diversion Dam</t>
  </si>
  <si>
    <t>Toats Coulee Creek Diversion</t>
  </si>
  <si>
    <t>Toats Coulee Creek Diversion Pool</t>
  </si>
  <si>
    <t>Toats Coulee Creek Diversion Dam</t>
  </si>
  <si>
    <t>Tom Steed</t>
  </si>
  <si>
    <t>Tom Steed (Mountain Park Dam)</t>
  </si>
  <si>
    <t>Tom Steed Reservoir (Mountain Park Dam)</t>
  </si>
  <si>
    <t>Tom Steed Reservoir</t>
  </si>
  <si>
    <t>Tom Steed Reservoir and Mountain Park Dam</t>
  </si>
  <si>
    <t>Mountain Park</t>
  </si>
  <si>
    <t>Trail Lake (WA)</t>
  </si>
  <si>
    <t>Trial</t>
  </si>
  <si>
    <t>Trial (Trial Lake Dam)</t>
  </si>
  <si>
    <t>Trial Lake (Trial Lake Dam)</t>
  </si>
  <si>
    <t>Trial Lake</t>
  </si>
  <si>
    <t>Trial Lake Dam</t>
  </si>
  <si>
    <t>Trinity</t>
  </si>
  <si>
    <t>Trinity Lake (Trinity Dam)</t>
  </si>
  <si>
    <t>Trinity Lake</t>
  </si>
  <si>
    <t>Trinity Dam</t>
  </si>
  <si>
    <t>Trinity Lake Dam and Powerplant</t>
  </si>
  <si>
    <t>Tschida</t>
  </si>
  <si>
    <t>Tschida (Heart Butte Dam)</t>
  </si>
  <si>
    <t>Lake Tschida (Heart Butte Dam)</t>
  </si>
  <si>
    <t>1112-Pick-Sloan Missouri Basin Program-Heart Division-Heart Butte Unit</t>
  </si>
  <si>
    <t>Lake Tschida</t>
  </si>
  <si>
    <t>Heart Butte Dam</t>
  </si>
  <si>
    <t>Lake Tschida and Heart Butte Dam</t>
  </si>
  <si>
    <t>Heart Butte</t>
  </si>
  <si>
    <t>Tub Springs Creek Diversion</t>
  </si>
  <si>
    <t>Tub Springs Creek Diversion Pool</t>
  </si>
  <si>
    <t>Tub Springs Creek Diversion Dam</t>
  </si>
  <si>
    <t>Turquoise</t>
  </si>
  <si>
    <t>Turquoise (Sugar Loaf Dam)</t>
  </si>
  <si>
    <t>Turquoise Lake (Sugar Loaf Dam)</t>
  </si>
  <si>
    <t>Turquoise Lake</t>
  </si>
  <si>
    <t>Sugar Loaf Dam</t>
  </si>
  <si>
    <t>Turquoise Lake and Sugar Loaf Dam</t>
  </si>
  <si>
    <t>Sugar Loaf</t>
  </si>
  <si>
    <t>Twin Buttes</t>
  </si>
  <si>
    <t>GP Hydromet - TRGT (has storage)</t>
  </si>
  <si>
    <t>Twin Buttes Reservoir (Twin Buttes Dam)</t>
  </si>
  <si>
    <t>0825-San Angelo Project</t>
  </si>
  <si>
    <t>Twin Buttes Reservoir</t>
  </si>
  <si>
    <t>Twin Buttes Dam</t>
  </si>
  <si>
    <t>Twin Lakes</t>
  </si>
  <si>
    <t>Twin Lakes (Twin Lakes Dam)</t>
  </si>
  <si>
    <t>Twin Lakes Dam</t>
  </si>
  <si>
    <t>Twin Lakes Reservoir and Dam</t>
  </si>
  <si>
    <t>Twitchell</t>
  </si>
  <si>
    <t>0575-Santa Maria Project</t>
  </si>
  <si>
    <t>Twitchell Reservoir</t>
  </si>
  <si>
    <t>Twitchell Dam</t>
  </si>
  <si>
    <t>Unity</t>
  </si>
  <si>
    <t>Unity Reservoir (Unity Dam)</t>
  </si>
  <si>
    <t>0216-Burnt River Project</t>
  </si>
  <si>
    <t>Unity Reservoir</t>
  </si>
  <si>
    <t>Unity Dam</t>
  </si>
  <si>
    <t>Unity Reservoir and Dam (UNY)</t>
  </si>
  <si>
    <t>Upper Cottonwood</t>
  </si>
  <si>
    <t>Upper Cottonwood Reservoir</t>
  </si>
  <si>
    <t>Upper Cottonwood Dam</t>
  </si>
  <si>
    <t>Upper Klamath</t>
  </si>
  <si>
    <t>Use USGS Data, calculate storage from elevation</t>
  </si>
  <si>
    <t>USGS Elevation https://waterdata.usgs.gov/monitoring-location/USGS-11507001</t>
  </si>
  <si>
    <t>Storage: USGS?USGS Elevation: https://waterdata.usgs.gov/monitoring-location/USGS-11507001</t>
  </si>
  <si>
    <t>Upper Klamath (Link River Diversion Dam)</t>
  </si>
  <si>
    <t>Upper Klamath Lake (Link River Diversion Dam)</t>
  </si>
  <si>
    <t>Upper Klamath Lake</t>
  </si>
  <si>
    <t>Link River Diversion Dam</t>
  </si>
  <si>
    <t>Upper Slaven Diversion</t>
  </si>
  <si>
    <t>0089-Humboldt Project</t>
  </si>
  <si>
    <t>Upper Slaven Diversion Pool</t>
  </si>
  <si>
    <t>Upper Slaven Diversion Dam</t>
  </si>
  <si>
    <t>Upper Stillwater</t>
  </si>
  <si>
    <t>Upper Stillwater Reservoir (Upper Stillwater Dam)</t>
  </si>
  <si>
    <t>Upper Stillwater Reservoir</t>
  </si>
  <si>
    <t>Upper Stillwater Dam</t>
  </si>
  <si>
    <t>Upper Stillwater Reservoir and Dam</t>
  </si>
  <si>
    <t>Utah</t>
  </si>
  <si>
    <t>Natural Lake</t>
  </si>
  <si>
    <t xml:space="preserve">https://www.usbr.gov/uc/water/hydrodata/reservoir_data/3606/dashboard.html Daily storage data available in HDB, capacity data ? </t>
  </si>
  <si>
    <t>Utah Lake</t>
  </si>
  <si>
    <t xml:space="preserve">Utah Lake </t>
  </si>
  <si>
    <t>Ute</t>
  </si>
  <si>
    <t>Ute Reservoir and Dam</t>
  </si>
  <si>
    <t>Vallecito</t>
  </si>
  <si>
    <t>Vallecito Reservoir (Vallecito Dam)</t>
  </si>
  <si>
    <t>0191-Pine River Project</t>
  </si>
  <si>
    <t>Vallecito Reservoir</t>
  </si>
  <si>
    <t>Vallecito Dam</t>
  </si>
  <si>
    <t>Vallecito Reservoir and Dam</t>
  </si>
  <si>
    <t>Vandalia Diversion</t>
  </si>
  <si>
    <t>Vandalia Diversion Reservoir</t>
  </si>
  <si>
    <t>Vandalia Diversion Dam</t>
  </si>
  <si>
    <t>Vat Diversion</t>
  </si>
  <si>
    <t>Vat Diversion Pool</t>
  </si>
  <si>
    <t>Vat Diversion Dam</t>
  </si>
  <si>
    <t>Vega</t>
  </si>
  <si>
    <t>https://www.usbr.gov/uc/water/hydrodata/reservoir_data/924/dashboard.html</t>
  </si>
  <si>
    <t>Vega Reservoir (Vega Dam)</t>
  </si>
  <si>
    <t>Vega Reservoir</t>
  </si>
  <si>
    <t>Vega Dam</t>
  </si>
  <si>
    <t>Waconda</t>
  </si>
  <si>
    <t>GP Hydromet - WAKS</t>
  </si>
  <si>
    <t>Waconda (Glen Elder Dam)</t>
  </si>
  <si>
    <t>Waconda Lake (Glen Elder Dam)</t>
  </si>
  <si>
    <t>0495-Pick-Sloan Missouri Basin Program-Solomon Division-Glen Elder Unit</t>
  </si>
  <si>
    <t>Waconda Lake</t>
  </si>
  <si>
    <t>Glen Elder Dam</t>
  </si>
  <si>
    <t>Waconda Lake and Glen Elder Dam</t>
  </si>
  <si>
    <t>Glen Elder</t>
  </si>
  <si>
    <t>Waha</t>
  </si>
  <si>
    <t>Lake Waha (WAH)</t>
  </si>
  <si>
    <t>Walcott</t>
  </si>
  <si>
    <t>Walcott (Minidoka Dam)</t>
  </si>
  <si>
    <t>Lake Walcott (Minidoka Dam)</t>
  </si>
  <si>
    <t>Lake Walcott</t>
  </si>
  <si>
    <t>Minidoka Dam</t>
  </si>
  <si>
    <t>Lake Walcott, Minidoka Dam, and Minidoka Powerplant (MIN)</t>
  </si>
  <si>
    <t>Minidoka</t>
  </si>
  <si>
    <t>Wapato Lake Diversion</t>
  </si>
  <si>
    <t>Wapato Lake Diversion Pool</t>
  </si>
  <si>
    <t>Wapato Lake Diversion Dam</t>
  </si>
  <si>
    <t>Wapatox Diversion</t>
  </si>
  <si>
    <t>Wapatox Diversion Pool</t>
  </si>
  <si>
    <t>Wapatox Diversion Dam</t>
  </si>
  <si>
    <t>Warm Springs</t>
  </si>
  <si>
    <t>Warm Springs Reservoir (Warm Springs Dam)</t>
  </si>
  <si>
    <t>Warm Springs Reservoir</t>
  </si>
  <si>
    <t>Warm Springs Dam</t>
  </si>
  <si>
    <t>Warm Springs Reservoir and Dam (WAR)</t>
  </si>
  <si>
    <t>Warren H. Brock</t>
  </si>
  <si>
    <t>Warren H. Brock Reservoir</t>
  </si>
  <si>
    <t>Warren H. Brock Reservoir Dikes</t>
  </si>
  <si>
    <t>Wasatch Diversion</t>
  </si>
  <si>
    <t>Wasatch Diversion Pool</t>
  </si>
  <si>
    <t>Wasatch Diversion Dam</t>
  </si>
  <si>
    <t>Washington</t>
  </si>
  <si>
    <t>Washington (Washington Lake Dam)</t>
  </si>
  <si>
    <t>Washington Lake (Washington Lake Dam)</t>
  </si>
  <si>
    <t>Washington Lake</t>
  </si>
  <si>
    <t>Washington Lake Dam</t>
  </si>
  <si>
    <t>Water Hollow Diversion</t>
  </si>
  <si>
    <t>Water Hollow Diversion Pool</t>
  </si>
  <si>
    <t>Water Hollow Diversion Dam</t>
  </si>
  <si>
    <t>Webb Creek Diversion</t>
  </si>
  <si>
    <t>Webb Creek Diversion Pool</t>
  </si>
  <si>
    <t>Webb Creek Diversion Dam</t>
  </si>
  <si>
    <t>Weber Basin Equalizing Reservoir 1.9</t>
  </si>
  <si>
    <t>Weber Basin Equalizing Reservoir-1.9 Dam</t>
  </si>
  <si>
    <t>Weber Basin Equalizing Reservoir 17.2</t>
  </si>
  <si>
    <t>Weber Basin Equalizing Reservoir-17.2 Dam</t>
  </si>
  <si>
    <t>Weber Basin Equalizing Reservoir 17.8</t>
  </si>
  <si>
    <t>Weber Basin Equalizing Reservoir-17.8 Dam</t>
  </si>
  <si>
    <t>Weber Basin Equalizing Reservoir 18 Lower</t>
  </si>
  <si>
    <t>Weber Basin Equalizing Reservoir-18.0 Lower Dam</t>
  </si>
  <si>
    <t>Weber Basin Equalizing Reservoir 18 Upper</t>
  </si>
  <si>
    <t>Weber Basin Equalizing Reservoir-18.0 Upper Dam</t>
  </si>
  <si>
    <t>Weber Basin Equalizing Reservoir 18.5</t>
  </si>
  <si>
    <t>Weber Basin Equalizing Reservoir-18.5 Dam</t>
  </si>
  <si>
    <t>Weber Basin Equalizing Reservoir 18.8</t>
  </si>
  <si>
    <t>Weber Basin Equalizing Reservoir-18.8 Dam</t>
  </si>
  <si>
    <t>Weber Basin Equalizing Reservoir 18.9</t>
  </si>
  <si>
    <t>Weber Basin Equalizing Reservoir-18.9 Dam</t>
  </si>
  <si>
    <t>Weber Basin Equalizing Reservoir 19.5 Lower</t>
  </si>
  <si>
    <t>Weber Basin Equalizing Reservoir-19.5 Lower Dam</t>
  </si>
  <si>
    <t>Weber Basin Equalizing Reservoir 19.5 Upper</t>
  </si>
  <si>
    <t>Weber Basin Equalizing Reservoir-19.5 Upper Dam</t>
  </si>
  <si>
    <t>Weber Basin Equalizing Reservoir 2.6</t>
  </si>
  <si>
    <t>Weber Basin Equalizing Reservoir-2.6 Dam</t>
  </si>
  <si>
    <t>Weber Basin Equalizing Reservoir 4.3</t>
  </si>
  <si>
    <t>Weber Basin Equalizing Reservoir-4.3 Dam</t>
  </si>
  <si>
    <t>Weber Basin Equalizing Reservoir 5.0</t>
  </si>
  <si>
    <t>Weber Basin Equalizing Reservoir-5.0 Dam</t>
  </si>
  <si>
    <t>Weber Basin Equalizing Reservoir Combe</t>
  </si>
  <si>
    <t>Weber Basin Equalizing Reservoir-Combe Dam</t>
  </si>
  <si>
    <t>Weber Basin Equalizing Reservoir East Sand Ridge</t>
  </si>
  <si>
    <t>Weber Basin Equalizing Reservoir-East Sand Ridge Dam</t>
  </si>
  <si>
    <t>Weber Basin Equalizing Reservoir Farmington</t>
  </si>
  <si>
    <t>Weber Basin Equalizing Reservoir-Farmington Dam</t>
  </si>
  <si>
    <t>Weber Basin Equalizing Reservoir P3.7</t>
  </si>
  <si>
    <t>Weber Basin Equalizing Reservoir-P3.7 Dam</t>
  </si>
  <si>
    <t>Weber Basin Equalizing Reservoir Uintah Bench Lower</t>
  </si>
  <si>
    <t>Weber Basin Equalizing Reservoir-Uintah Bench Lower Dam</t>
  </si>
  <si>
    <t>Weber Basin Equalizing Reservoir Uintah Bench Upper</t>
  </si>
  <si>
    <t>Weber Basin Equalizing Reservoir-Uintah Bench Upper Dam</t>
  </si>
  <si>
    <t>Weber Basin Equalizing Reservoir West Sand Ridge</t>
  </si>
  <si>
    <t>Weber Basin Equalizing Reservoir-West Sand Ridge Dam</t>
  </si>
  <si>
    <t>Weber Provo Diversion</t>
  </si>
  <si>
    <t>Weber Provo Diversion Pool</t>
  </si>
  <si>
    <t>Weber Provo Diversion Dam</t>
  </si>
  <si>
    <t>Webster</t>
  </si>
  <si>
    <t>GP Hydromet - WBKS</t>
  </si>
  <si>
    <t>Webster Reservoir (Webster Dam)</t>
  </si>
  <si>
    <t>0468-Pick-Sloan Missouri Basin Program-Solomon Division-Webster Unit</t>
  </si>
  <si>
    <t>Webster Reservoir</t>
  </si>
  <si>
    <t>Webster Dam</t>
  </si>
  <si>
    <t>Webster Reservoir and Dam</t>
  </si>
  <si>
    <t>West Park</t>
  </si>
  <si>
    <t>West Park Lake</t>
  </si>
  <si>
    <t>Whalen Diversion</t>
  </si>
  <si>
    <t>Whalen Diversion Reservoir</t>
  </si>
  <si>
    <t>Whalen Diversion Dam</t>
  </si>
  <si>
    <t>Whatcom</t>
  </si>
  <si>
    <t>Lake Whatcom and Lake Whatcom Dam</t>
  </si>
  <si>
    <t>Lake Whatcom</t>
  </si>
  <si>
    <t>Whiskeytown</t>
  </si>
  <si>
    <t>Whiskeytown Lake (Whiskeytown Dam)</t>
  </si>
  <si>
    <t>Whiskeytown Lake</t>
  </si>
  <si>
    <t>Whiskeytown Dam</t>
  </si>
  <si>
    <t>Whiskeytown Lake and Dam</t>
  </si>
  <si>
    <t>Wickiup</t>
  </si>
  <si>
    <t>Wickiup Reservoir (Wickiup Dam)</t>
  </si>
  <si>
    <t>Wickiup Reservoir</t>
  </si>
  <si>
    <t>Wickiup Dam</t>
  </si>
  <si>
    <t>Wickiup Reservoir and Dam (WIC)</t>
  </si>
  <si>
    <t>Willard Bay</t>
  </si>
  <si>
    <t>Willard Bay (Arthur V. Watkins Dam)</t>
  </si>
  <si>
    <t>Willard Bay Reservoir (Arthur V. Watkins Dam)</t>
  </si>
  <si>
    <t>Willard Bay Reservoir</t>
  </si>
  <si>
    <t>Arthur V. Watkins Dam</t>
  </si>
  <si>
    <t>Willard Bay Reservoir and Arthur V Watkins Dam</t>
  </si>
  <si>
    <t>Arthur V Watkins</t>
  </si>
  <si>
    <t>Willow Creek Forebay</t>
  </si>
  <si>
    <t>Willow Creek Forebay Reservoir</t>
  </si>
  <si>
    <t>Willow Creek Forebay Dam</t>
  </si>
  <si>
    <t>Willow Creek Reservoir CO</t>
  </si>
  <si>
    <t>Willow Creek Reservoir (CO)</t>
  </si>
  <si>
    <t>Willow Creek Reservoir (CO) (Willow Creek Dam)</t>
  </si>
  <si>
    <t>Willow Creek BOR CO Dam</t>
  </si>
  <si>
    <t>Willow Creek Reservoir and Dam (CO)</t>
  </si>
  <si>
    <t>Willow Creek</t>
  </si>
  <si>
    <t>Willow Creek Reservoir MT</t>
  </si>
  <si>
    <t>Willow Creek Reservoir (MT)</t>
  </si>
  <si>
    <t>Willow Creek Reservoir (MT) (Willow Creek Dam)</t>
  </si>
  <si>
    <t>Willow Creek MT Dam</t>
  </si>
  <si>
    <t>Willow Creek Reservoir and Dam (MT)</t>
  </si>
  <si>
    <t>Willwood Diversion</t>
  </si>
  <si>
    <t>Willwood Diversion Reservoir</t>
  </si>
  <si>
    <t>Willwood Diversion Dam</t>
  </si>
  <si>
    <t>Win Diversion</t>
  </si>
  <si>
    <t>Win Diversion Pool</t>
  </si>
  <si>
    <t>Win Diversion Dam</t>
  </si>
  <si>
    <t>Wind River Diversion</t>
  </si>
  <si>
    <t>Wind River Diversion Reservoir</t>
  </si>
  <si>
    <t>Wind River Diversion Dam</t>
  </si>
  <si>
    <t>Winters Creek</t>
  </si>
  <si>
    <t>Winters Creek Lake</t>
  </si>
  <si>
    <t>Woodston Diversion</t>
  </si>
  <si>
    <t>Woodston Diversion Pool</t>
  </si>
  <si>
    <t>Woodston Diversion Dam</t>
  </si>
  <si>
    <t>Yellowstone River Diversion</t>
  </si>
  <si>
    <t>Yellowstone River Diversion Pool</t>
  </si>
  <si>
    <t>Yellowstone River Diversion Dam</t>
  </si>
  <si>
    <t>Yellowtail Afterbay</t>
  </si>
  <si>
    <t>Yellowtail Afterbay Reservoir</t>
  </si>
  <si>
    <t>Yellowtail Afterbay Dam</t>
  </si>
  <si>
    <t>Yellowtail Afterbay and Yellowtail Afterbay Dam</t>
  </si>
  <si>
    <t>Zuni Salt</t>
  </si>
  <si>
    <t>Zuni Salt Lake</t>
  </si>
  <si>
    <t>Validation Region</t>
  </si>
  <si>
    <t>Decision Tree  Validation Recommendation</t>
  </si>
  <si>
    <t>No changes</t>
  </si>
  <si>
    <t>Change To: Include</t>
  </si>
  <si>
    <t>Change To: Do Not Include</t>
  </si>
  <si>
    <t>Other (See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</si>
</sst>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7">
    <font>
      <sz val="11"/>
      <color theme="1"/>
      <name val="Aptos Narrow"/>
      <family val="2"/>
      <scheme val="minor"/>
    </font>
    <font>
      <b/>
      <sz val="11"/>
      <color theme="0"/>
      <name val="Aptos Narrow"/>
      <family val="2"/>
      <scheme val="minor"/>
    </font>
    <font>
      <sz val="11"/>
      <color rgb="FF000000"/>
      <name val="Calibri"/>
      <family val="2"/>
    </font>
    <font>
      <sz val="11"/>
      <name val="Calibri"/>
      <family val="2"/>
    </font>
    <font>
      <sz val="11"/>
      <color theme="1"/>
      <name val="Calibri"/>
      <family val="2"/>
    </font>
    <font>
      <sz val="11"/>
      <name val="Aptos Narrow"/>
      <family val="2"/>
      <scheme val="minor"/>
    </font>
    <font>
      <u/>
      <sz val="11"/>
      <color theme="10"/>
      <name val="Aptos Narrow"/>
      <family val="2"/>
      <scheme val="minor"/>
    </font>
    <font>
      <sz val="11"/>
      <color theme="1"/>
      <name val="Aptos Narrow"/>
      <family val="2"/>
      <scheme val="minor"/>
    </font>
    <font>
      <b/>
      <sz val="11"/>
      <color theme="1"/>
      <name val="Aptos Narrow"/>
      <family val="2"/>
      <scheme val="minor"/>
    </font>
    <font>
      <sz val="10"/>
      <color theme="1"/>
      <name val="Calibri"/>
      <family val="2"/>
    </font>
    <font>
      <u/>
      <sz val="11"/>
      <color theme="1"/>
      <name val="Aptos Narrow"/>
      <family val="2"/>
      <scheme val="minor"/>
    </font>
    <font>
      <sz val="8"/>
      <name val="Aptos Narrow"/>
      <family val="2"/>
      <scheme val="minor"/>
    </font>
    <font>
      <sz val="11"/>
      <color rgb="FFFF0000"/>
      <name val="Calibri"/>
      <family val="2"/>
    </font>
    <font>
      <sz val="10"/>
      <color rgb="FFFF0000"/>
      <name val="Calibri"/>
      <family val="2"/>
    </font>
    <font>
      <u/>
      <sz val="10"/>
      <color theme="1"/>
      <name val="Calibri"/>
      <family val="2"/>
    </font>
    <font>
      <sz val="10"/>
      <color rgb="FF000000"/>
      <name val="Calibri"/>
      <family val="2"/>
    </font>
    <font>
      <b/>
      <sz val="10"/>
      <color theme="0"/>
      <name val="Calibri"/>
      <family val="2"/>
    </font>
  </fonts>
  <fills count="12">
    <fill>
      <patternFill patternType="none"/>
    </fill>
    <fill>
      <patternFill patternType="gray125"/>
    </fill>
    <fill>
      <patternFill patternType="solid">
        <fgColor theme="1" tint="0.499984740745262"/>
        <bgColor theme="5"/>
      </patternFill>
    </fill>
    <fill>
      <patternFill patternType="solid">
        <fgColor theme="5"/>
        <bgColor indexed="64"/>
      </patternFill>
    </fill>
    <fill>
      <patternFill patternType="solid">
        <fgColor theme="1" tint="0.499984740745262"/>
        <bgColor indexed="64"/>
      </patternFill>
    </fill>
    <fill>
      <patternFill patternType="solid">
        <fgColor rgb="FFFFC000"/>
        <bgColor indexed="64"/>
      </patternFill>
    </fill>
    <fill>
      <patternFill patternType="solid">
        <fgColor rgb="FF0070C0"/>
        <bgColor indexed="64"/>
      </patternFill>
    </fill>
    <fill>
      <patternFill patternType="solid">
        <fgColor theme="0" tint="-0.499984740745262"/>
        <bgColor indexed="64"/>
      </patternFill>
    </fill>
    <fill>
      <patternFill patternType="solid">
        <fgColor theme="3" tint="0.89999084444715716"/>
        <bgColor indexed="64"/>
      </patternFill>
    </fill>
    <fill>
      <patternFill patternType="solid">
        <fgColor rgb="FFDAE9F8"/>
        <bgColor rgb="FF000000"/>
      </patternFill>
    </fill>
    <fill>
      <patternFill patternType="solid">
        <fgColor rgb="FFFFFF00"/>
        <bgColor indexed="64"/>
      </patternFill>
    </fill>
    <fill>
      <patternFill patternType="solid">
        <fgColor theme="7" tint="-0.499984740745262"/>
        <bgColor indexed="64"/>
      </patternFill>
    </fill>
  </fills>
  <borders count="8">
    <border>
      <left/>
      <right/>
      <top/>
      <bottom/>
      <diagonal/>
    </border>
    <border>
      <left/>
      <right/>
      <top style="thin">
        <color rgb="FFF4B084"/>
      </top>
      <bottom style="thin">
        <color rgb="FFF4B08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8EA9DB"/>
      </top>
      <bottom style="thin">
        <color rgb="FF8EA9DB"/>
      </bottom>
      <diagonal/>
    </border>
    <border>
      <left/>
      <right/>
      <top style="thin">
        <color rgb="FF8EA9DB"/>
      </top>
      <bottom style="thin">
        <color rgb="FFF4B084"/>
      </bottom>
      <diagonal/>
    </border>
    <border>
      <left/>
      <right/>
      <top style="thin">
        <color theme="4" tint="0.39997558519241921"/>
      </top>
      <bottom style="thin">
        <color theme="4" tint="0.39997558519241921"/>
      </bottom>
      <diagonal/>
    </border>
  </borders>
  <cellStyleXfs count="3">
    <xf numFmtId="0" fontId="0" fillId="0" borderId="0"/>
    <xf numFmtId="0" fontId="6" fillId="0" borderId="0" applyNumberFormat="0" applyFill="0" applyBorder="0" applyAlignment="0" applyProtection="0"/>
    <xf numFmtId="43" fontId="7" fillId="0" borderId="0" applyFont="0" applyFill="0" applyBorder="0" applyAlignment="0" applyProtection="0"/>
  </cellStyleXfs>
  <cellXfs count="62">
    <xf numFmtId="0" fontId="0" fillId="0" borderId="0" xfId="0"/>
    <xf numFmtId="0" fontId="0" fillId="3" borderId="0" xfId="0" applyFill="1" applyAlignment="1">
      <alignment wrapText="1"/>
    </xf>
    <xf numFmtId="0" fontId="1" fillId="2" borderId="1" xfId="0" applyFont="1" applyFill="1" applyBorder="1" applyAlignment="1">
      <alignment wrapText="1"/>
    </xf>
    <xf numFmtId="0" fontId="1" fillId="0" borderId="0" xfId="0" applyFont="1" applyAlignment="1">
      <alignment wrapText="1"/>
    </xf>
    <xf numFmtId="0" fontId="0" fillId="0" borderId="0" xfId="0" applyAlignment="1">
      <alignment wrapText="1"/>
    </xf>
    <xf numFmtId="0" fontId="1" fillId="3" borderId="0" xfId="0" applyFont="1" applyFill="1" applyAlignment="1">
      <alignment wrapText="1"/>
    </xf>
    <xf numFmtId="0" fontId="1" fillId="5" borderId="0" xfId="0" applyFont="1" applyFill="1" applyAlignment="1">
      <alignment wrapText="1"/>
    </xf>
    <xf numFmtId="0" fontId="5" fillId="0" borderId="0" xfId="0" applyFont="1"/>
    <xf numFmtId="0" fontId="1" fillId="7" borderId="0" xfId="0" applyFont="1" applyFill="1" applyAlignment="1">
      <alignment wrapText="1"/>
    </xf>
    <xf numFmtId="0" fontId="1" fillId="6" borderId="0" xfId="0" applyFont="1" applyFill="1" applyAlignment="1">
      <alignment wrapText="1"/>
    </xf>
    <xf numFmtId="0" fontId="1" fillId="4" borderId="0" xfId="0" applyFont="1" applyFill="1" applyAlignment="1">
      <alignment wrapText="1"/>
    </xf>
    <xf numFmtId="0" fontId="2" fillId="0" borderId="2" xfId="0" applyFont="1" applyBorder="1"/>
    <xf numFmtId="0" fontId="3" fillId="0" borderId="2" xfId="0" applyFont="1" applyBorder="1" applyAlignment="1">
      <alignment horizontal="center"/>
    </xf>
    <xf numFmtId="0" fontId="0" fillId="0" borderId="2" xfId="0" applyBorder="1"/>
    <xf numFmtId="3" fontId="0" fillId="0" borderId="2" xfId="0" applyNumberFormat="1" applyBorder="1"/>
    <xf numFmtId="0" fontId="0" fillId="0" borderId="2" xfId="0" quotePrefix="1" applyBorder="1" applyAlignment="1">
      <alignment horizontal="center"/>
    </xf>
    <xf numFmtId="0" fontId="0" fillId="0" borderId="2" xfId="0" quotePrefix="1" applyBorder="1" applyAlignment="1">
      <alignment horizontal="right"/>
    </xf>
    <xf numFmtId="0" fontId="0" fillId="0" borderId="2" xfId="0" quotePrefix="1" applyBorder="1"/>
    <xf numFmtId="0" fontId="0" fillId="0" borderId="2" xfId="0" applyBorder="1" applyAlignment="1">
      <alignment horizontal="center"/>
    </xf>
    <xf numFmtId="164" fontId="0" fillId="0" borderId="2" xfId="2" applyNumberFormat="1" applyFont="1" applyBorder="1"/>
    <xf numFmtId="0" fontId="0" fillId="10" borderId="0" xfId="0" applyFill="1"/>
    <xf numFmtId="0" fontId="2" fillId="0" borderId="3" xfId="0" applyFont="1" applyBorder="1"/>
    <xf numFmtId="0" fontId="0" fillId="0" borderId="3" xfId="0" quotePrefix="1" applyBorder="1" applyAlignment="1">
      <alignment horizontal="center"/>
    </xf>
    <xf numFmtId="0" fontId="2" fillId="0" borderId="4" xfId="0" applyFont="1" applyBorder="1"/>
    <xf numFmtId="0" fontId="0" fillId="0" borderId="4" xfId="0" applyBorder="1"/>
    <xf numFmtId="0" fontId="2" fillId="0" borderId="5" xfId="0" applyFont="1" applyBorder="1"/>
    <xf numFmtId="14" fontId="2" fillId="0" borderId="5" xfId="0" applyNumberFormat="1" applyFont="1" applyBorder="1"/>
    <xf numFmtId="0" fontId="2" fillId="0" borderId="6" xfId="0" applyFont="1" applyBorder="1"/>
    <xf numFmtId="0" fontId="9" fillId="8" borderId="2" xfId="0" applyFont="1" applyFill="1" applyBorder="1" applyAlignment="1">
      <alignment horizontal="left"/>
    </xf>
    <xf numFmtId="0" fontId="9" fillId="9" borderId="2" xfId="0" applyFont="1" applyFill="1" applyBorder="1" applyAlignment="1">
      <alignment horizontal="left"/>
    </xf>
    <xf numFmtId="0" fontId="4" fillId="8" borderId="2" xfId="0" applyFont="1" applyFill="1" applyBorder="1" applyAlignment="1">
      <alignment horizontal="left"/>
    </xf>
    <xf numFmtId="0" fontId="10" fillId="8" borderId="2" xfId="1" applyFont="1" applyFill="1" applyBorder="1" applyAlignment="1">
      <alignment horizontal="left"/>
    </xf>
    <xf numFmtId="0" fontId="9" fillId="8" borderId="0" xfId="0" applyFont="1" applyFill="1" applyAlignment="1">
      <alignment horizontal="left"/>
    </xf>
    <xf numFmtId="3" fontId="9" fillId="8" borderId="2" xfId="0" applyNumberFormat="1" applyFont="1" applyFill="1" applyBorder="1" applyAlignment="1">
      <alignment horizontal="left"/>
    </xf>
    <xf numFmtId="0" fontId="8" fillId="6" borderId="0" xfId="0" applyFont="1" applyFill="1" applyAlignment="1">
      <alignment horizontal="center" vertical="top" wrapText="1"/>
    </xf>
    <xf numFmtId="0" fontId="8" fillId="4" borderId="0" xfId="0" applyFont="1" applyFill="1" applyAlignment="1">
      <alignment wrapText="1"/>
    </xf>
    <xf numFmtId="0" fontId="4" fillId="0" borderId="2" xfId="0" applyFont="1" applyBorder="1"/>
    <xf numFmtId="0" fontId="9" fillId="8" borderId="2" xfId="0" applyFont="1" applyFill="1" applyBorder="1" applyAlignment="1">
      <alignment horizontal="left" vertical="top" wrapText="1"/>
    </xf>
    <xf numFmtId="0" fontId="9" fillId="9"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10" fillId="8" borderId="2" xfId="1" applyFont="1" applyFill="1" applyBorder="1" applyAlignment="1">
      <alignment horizontal="left" vertical="top" wrapText="1"/>
    </xf>
    <xf numFmtId="0" fontId="9" fillId="8" borderId="0" xfId="0" applyFont="1" applyFill="1" applyAlignment="1">
      <alignment horizontal="left" vertical="top" wrapText="1"/>
    </xf>
    <xf numFmtId="0" fontId="12" fillId="0" borderId="2" xfId="0" applyFont="1" applyBorder="1"/>
    <xf numFmtId="0" fontId="13" fillId="9" borderId="2" xfId="0" applyFont="1" applyFill="1" applyBorder="1" applyAlignment="1">
      <alignment horizontal="left"/>
    </xf>
    <xf numFmtId="0" fontId="14" fillId="8" borderId="2" xfId="1" applyFont="1" applyFill="1" applyBorder="1" applyAlignment="1">
      <alignment horizontal="left" vertical="top" wrapText="1"/>
    </xf>
    <xf numFmtId="0" fontId="15" fillId="0" borderId="2" xfId="0" applyFont="1" applyBorder="1"/>
    <xf numFmtId="3" fontId="15" fillId="0" borderId="2" xfId="0" applyNumberFormat="1" applyFont="1" applyBorder="1"/>
    <xf numFmtId="0" fontId="16" fillId="6" borderId="7" xfId="0" applyFont="1" applyFill="1" applyBorder="1" applyAlignment="1">
      <alignment horizontal="center" vertical="top" wrapText="1"/>
    </xf>
    <xf numFmtId="164" fontId="9" fillId="8" borderId="2" xfId="2" applyNumberFormat="1" applyFont="1" applyFill="1" applyBorder="1" applyAlignment="1">
      <alignment horizontal="left"/>
    </xf>
    <xf numFmtId="164" fontId="9" fillId="10" borderId="2" xfId="0" applyNumberFormat="1" applyFont="1" applyFill="1" applyBorder="1" applyAlignment="1">
      <alignment horizontal="left"/>
    </xf>
    <xf numFmtId="164" fontId="9" fillId="8" borderId="2" xfId="0" applyNumberFormat="1" applyFont="1" applyFill="1" applyBorder="1" applyAlignment="1">
      <alignment horizontal="left"/>
    </xf>
    <xf numFmtId="164" fontId="9" fillId="10" borderId="2" xfId="2" applyNumberFormat="1" applyFont="1" applyFill="1" applyBorder="1" applyAlignment="1">
      <alignment horizontal="left"/>
    </xf>
    <xf numFmtId="164" fontId="4" fillId="8" borderId="2" xfId="0" applyNumberFormat="1" applyFont="1" applyFill="1" applyBorder="1" applyAlignment="1">
      <alignment horizontal="left"/>
    </xf>
    <xf numFmtId="164" fontId="9" fillId="8" borderId="0" xfId="0" applyNumberFormat="1" applyFont="1" applyFill="1" applyAlignment="1">
      <alignment horizontal="left"/>
    </xf>
    <xf numFmtId="0" fontId="8" fillId="11" borderId="0" xfId="0" applyFont="1" applyFill="1" applyAlignment="1">
      <alignment horizontal="center" vertical="top" wrapText="1"/>
    </xf>
    <xf numFmtId="0" fontId="9" fillId="10" borderId="2" xfId="0" applyFont="1" applyFill="1" applyBorder="1" applyAlignment="1">
      <alignment horizontal="left"/>
    </xf>
    <xf numFmtId="0" fontId="9" fillId="9" borderId="0" xfId="0" applyFont="1" applyFill="1" applyBorder="1" applyAlignment="1">
      <alignment horizontal="left"/>
    </xf>
    <xf numFmtId="0" fontId="9" fillId="8" borderId="0" xfId="0" applyFont="1" applyFill="1" applyBorder="1" applyAlignment="1">
      <alignment horizontal="left"/>
    </xf>
    <xf numFmtId="164" fontId="9" fillId="8" borderId="0" xfId="0" applyNumberFormat="1" applyFont="1" applyFill="1" applyBorder="1" applyAlignment="1">
      <alignment horizontal="left"/>
    </xf>
    <xf numFmtId="0" fontId="9" fillId="9" borderId="0" xfId="0" applyFont="1" applyFill="1" applyBorder="1" applyAlignment="1">
      <alignment horizontal="left" vertical="top" wrapText="1"/>
    </xf>
    <xf numFmtId="0" fontId="9" fillId="8" borderId="0" xfId="0" applyFont="1" applyFill="1" applyBorder="1" applyAlignment="1">
      <alignment horizontal="left" vertical="top" wrapText="1"/>
    </xf>
    <xf numFmtId="3" fontId="9" fillId="8" borderId="0" xfId="0" applyNumberFormat="1" applyFont="1" applyFill="1" applyBorder="1" applyAlignment="1">
      <alignment horizontal="left"/>
    </xf>
  </cellXfs>
  <cellStyles count="3">
    <cellStyle name="Comma" xfId="2" builtinId="3"/>
    <cellStyle name="Hyperlink" xfId="1" builtinId="8"/>
    <cellStyle name="Normal" xfId="0" builtinId="0"/>
  </cellStyles>
  <dxfs count="50">
    <dxf>
      <font>
        <b val="0"/>
        <i val="0"/>
        <strike val="0"/>
        <condense val="0"/>
        <extend val="0"/>
        <outline val="0"/>
        <shadow val="0"/>
        <u val="none"/>
        <vertAlign val="baseline"/>
        <sz val="11"/>
        <color rgb="FF000000"/>
        <name val="Calibri"/>
        <family val="2"/>
        <scheme val="none"/>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auto="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 formatCode="0"/>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theme="1"/>
        <name val="Calibri"/>
        <family val="2"/>
        <scheme val="none"/>
      </font>
      <numFmt numFmtId="0" formatCode="General"/>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_(* #,##0_);_(* \(#,##0\);_(* &quot;-&quot;??_);_(@_)"/>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_(* #,##0_);_(* \(#,##0\);_(* &quot;-&quot;??_);_(@_)"/>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_(* #,##0_);_(* \(#,##0\);_(* &quot;-&quot;??_);_(@_)"/>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theme="1"/>
        <name val="Calibri"/>
        <family val="2"/>
        <scheme val="none"/>
      </font>
      <numFmt numFmtId="0" formatCode="General"/>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name val="Calibri"/>
        <family val="2"/>
        <scheme val="none"/>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color theme="1"/>
      </font>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color theme="1"/>
      </font>
      <numFmt numFmtId="0" formatCode="General"/>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rgb="FFF4B084"/>
        </top>
      </border>
    </dxf>
    <dxf>
      <border outline="0">
        <bottom style="thin">
          <color rgb="FFF4B08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general" vertical="bottom" textRotation="0" wrapText="1" indent="0" justifyLastLine="0" shrinkToFit="0" readingOrder="0"/>
    </dxf>
    <dxf>
      <font>
        <b val="0"/>
        <i val="0"/>
        <color theme="9" tint="-0.24994659260841701"/>
      </font>
      <fill>
        <patternFill patternType="none">
          <bgColor auto="1"/>
        </patternFill>
      </fill>
    </dxf>
    <dxf>
      <font>
        <b val="0"/>
        <i val="0"/>
        <color rgb="FFAE5252"/>
      </font>
      <fill>
        <patternFill patternType="none">
          <bgColor auto="1"/>
        </patternFill>
      </fill>
    </dxf>
    <dxf>
      <fill>
        <patternFill>
          <bgColor rgb="FFFFFF00"/>
        </patternFill>
      </fill>
    </dxf>
  </dxfs>
  <tableStyles count="0" defaultTableStyle="TableStyleMedium2" defaultPivotStyle="PivotStyleLight16"/>
  <colors>
    <mruColors>
      <color rgb="FFAE5252"/>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36C7B8-54B9-48E9-8097-124B2829682C}" name="Table810" displayName="Table810" ref="A1:AX504" totalsRowShown="0" headerRowDxfId="46" dataDxfId="45" headerRowBorderDxfId="44" totalsRowBorderDxfId="43">
  <autoFilter ref="A1:AX504" xr:uid="{DD36C7B8-54B9-48E9-8097-124B2829682C}"/>
  <sortState xmlns:xlrd2="http://schemas.microsoft.com/office/spreadsheetml/2017/richdata2" ref="A2:AX504">
    <sortCondition ref="A1:A504"/>
  </sortState>
  <tableColumns count="50">
    <tableColumn id="7" xr3:uid="{FA2AC9A8-7527-40F5-B9AA-BED2E8104650}" name="Name" dataDxfId="42"/>
    <tableColumn id="43" xr3:uid="{6524EC4A-9955-4348-B8C1-07A9B58A2F8C}" name="Ownership" dataDxfId="41"/>
    <tableColumn id="8" xr3:uid="{C98677F9-8FD0-4235-9696-72CEF3E7358C}" name="Post-Review Decision" dataDxfId="40"/>
    <tableColumn id="11" xr3:uid="{5607DC64-4003-4F1C-9CC6-23A9B249AE8F}" name="Actions to Allow Inclusion" dataDxfId="39"/>
    <tableColumn id="18" xr3:uid="{B6CD0E18-5DE9-4D1A-AC4A-9D66C5AF6CD3}" name="Source for Storage Data" dataDxfId="38"/>
    <tableColumn id="31" xr3:uid="{DBC00B93-AA8A-4A89-AC6B-F29F99977523}" name="RISE Location ID" dataDxfId="37"/>
    <tableColumn id="22" xr3:uid="{3226D348-E275-D94B-A33C-0A401EE6C3FD}" name="RISE Parameter ID for Storage Data" dataDxfId="36"/>
    <tableColumn id="21" xr3:uid="{9934FB23-DFDF-4F3B-B9D4-DD39275E1346}" name="Source for Capacity" dataDxfId="35">
      <calculatedColumnFormula>IF(ISNUMBER(Table810[[#This Row],[Total Capacity]]),"USBR Enterprise Asset Registry",IF(Table810[[#This Row],[Total Capacity]]="",""))</calculatedColumnFormula>
    </tableColumn>
    <tableColumn id="42" xr3:uid="{BAC6A6D6-B262-4DFB-BA46-B50B9F4240F4}" name="Storage and Capacity Label" dataDxfId="34"/>
    <tableColumn id="44" xr3:uid="{99650468-1536-4541-BD33-722033190518}" name="Has Exclusive Flood Control Pool?" dataDxfId="33"/>
    <tableColumn id="45" xr3:uid="{D08A24E5-3BF3-4531-B1D0-DEB51AAB79EE}" name="Exclusive Flood Control Pool Volume" dataDxfId="32"/>
    <tableColumn id="47" xr3:uid="{9A90A132-21DB-4121-8738-F6A10B93F005}" name="Calculated Capacity Value" dataDxfId="31"/>
    <tableColumn id="50" xr3:uid="{83082211-FF2F-4C56-B4B7-9CDD169D59A8}" name="Corrected Capacity Value" dataDxfId="30" dataCellStyle="Comma"/>
    <tableColumn id="49" xr3:uid="{B4EF1C84-852B-45C5-9877-C84D1EC0276C}" name="Capacity Value for Dashboard" dataDxfId="29"/>
    <tableColumn id="46" xr3:uid="{B57EBDEB-B9BD-4DD8-9D1D-8169B13F43E2}" name="Reservoir-Specific Notes" dataDxfId="28"/>
    <tableColumn id="24" xr3:uid="{D488374D-0665-47BE-9410-E08893C8F650}" name="Data Source Notes " dataDxfId="27"/>
    <tableColumn id="19" xr3:uid="{42876B33-07D3-4737-B2D6-36ED67BEB701}" name="Total Capacity" dataDxfId="26">
      <calculatedColumnFormula>IF(OR(Table810[[#This Row],[Post-Review Decision]]="Include", Table810[[#This Row],[Post-Review Decision]]="Include if possible", Table810[[#This Row],[Post-Review Decision]]="Include (Omit % Avg if needed)",  Table810[[#This Row],[Post-Review Decision]]="Include (Omit % Avg)"),Table810[[#This Row],[EAR Total Capacity]],"")</calculatedColumnFormula>
    </tableColumn>
    <tableColumn id="41" xr3:uid="{3025607A-2D9C-4797-BDC7-8837A369FC08}" name="Active Capacity" dataDxfId="25"/>
    <tableColumn id="48" xr3:uid="{B67E91A4-F543-4B0F-8B74-18D4CC7CCB5A}" name="Live Capacity"/>
    <tableColumn id="38" xr3:uid="{4A0E438F-39A5-493D-8C07-EB9A5B5CDDE1}" name="Preferred Label for Map and Table" dataDxfId="24"/>
    <tableColumn id="25" xr3:uid="{6077007E-A32F-4703-9D43-132CD3D1A9FB}" name="Preferred Label for PopUp and Modal" dataDxfId="23"/>
    <tableColumn id="26" xr3:uid="{7802EF64-83C0-4E24-80A7-56E16C422289}" name="EAR Project" dataDxfId="22"/>
    <tableColumn id="35" xr3:uid="{674E2B8B-BCBB-496D-B722-54141E0FD736}" name="Capacity Available?" dataDxfId="21">
      <calculatedColumnFormula>ISNUMBER(Table810[[#This Row],[EAR Total Capacity]])</calculatedColumnFormula>
    </tableColumn>
    <tableColumn id="36" xr3:uid="{35496DE2-E47B-46BE-A86E-C141E299A640}" name="30 Years of Historical Storage Data Available in RISE?" dataDxfId="20">
      <calculatedColumnFormula>IF(Table810[[#This Row],[Has  Storage for Full Averaging Period?]]="OK",TRUE,FALSE)</calculatedColumnFormula>
    </tableColumn>
    <tableColumn id="37" xr3:uid="{BDB508B5-7F13-402A-81CD-26D80772B40D}" name="Current Storage Data Available in RISE?" dataDxfId="19">
      <calculatedColumnFormula>IFERROR(IF(YEAR(Table810[[#This Row],[RISE Storage End Date]])=2025,TRUE,FALSE),FALSE)</calculatedColumnFormula>
    </tableColumn>
    <tableColumn id="23" xr3:uid="{7F630985-BEEA-4ED9-B96D-A3C5294C2019}" name="In Reservoir Conditions Visualization?" dataDxfId="18"/>
    <tableColumn id="1" xr3:uid="{D5DE9111-9DBF-4317-910D-94D1444BF7DF}" name="EAR OBJECTID" dataDxfId="17"/>
    <tableColumn id="2" xr3:uid="{E44CE7A8-154A-4D3E-AFD7-3EC669A18938}" name="EAR Asset Class" dataDxfId="16"/>
    <tableColumn id="3" xr3:uid="{5BF8F04E-874F-4875-8981-05B0ED7EE6AC}" name="EAR Asset Name" dataDxfId="15"/>
    <tableColumn id="16" xr3:uid="{2C922178-FFB7-4513-9D73-5E83E0A355CE}" name="Reservoir/Lake/Pool Name Simplified" dataDxfId="14"/>
    <tableColumn id="4" xr3:uid="{5E4D520C-E78F-4028-8E57-67B252DF614C}" name="EAR Asset Type" dataDxfId="13"/>
    <tableColumn id="5" xr3:uid="{A4985F8B-66AD-4B16-A82C-794CA7B35101}" name="EAR Dam Facility Name" dataDxfId="12"/>
    <tableColumn id="27" xr3:uid="{B05D3857-CDF4-4CDB-BE08-3EC048175BF2}" name="EAR Interior Region" dataDxfId="11"/>
    <tableColumn id="28" xr3:uid="{D5823B84-A7A7-4FE1-AE10-3828A2959571}" name="EAR Managing Region" dataDxfId="10"/>
    <tableColumn id="29" xr3:uid="{C0B24D85-75AC-45C7-9615-006B6CD9E303}" name="EAR Reservoir Function" dataDxfId="9"/>
    <tableColumn id="30" xr3:uid="{4A7AB9AC-CCA3-4F7D-BC32-9C787A7CA364}" name="EAR Total Capacity" dataDxfId="8"/>
    <tableColumn id="39" xr3:uid="{D3D79B6C-566B-1A4F-AFAD-129F1D723C3F}" name="Longitude" dataDxfId="7"/>
    <tableColumn id="40" xr3:uid="{6B4D3366-8117-7B46-A34F-1D9F69F8E67D}" name="Latitude" dataDxfId="6"/>
    <tableColumn id="17" xr3:uid="{D346A533-32EF-4943-B729-BFE75C9C3BF8}" name="RISE Location Name" dataDxfId="5"/>
    <tableColumn id="20" xr3:uid="{A9D98A0A-F76A-4AB2-AD7C-562BC3BC84FF}" name="RISE Region" dataDxfId="4"/>
    <tableColumn id="32" xr3:uid="{FB96863B-8AE4-47E1-A11D-7DD02D671A8C}" name="RISE Reservoir Name" dataDxfId="3"/>
    <tableColumn id="33" xr3:uid="{D0FD965F-8F5D-4D82-8528-17925223F852}" name="RISE Dam Name" dataDxfId="2"/>
    <tableColumn id="6" xr3:uid="{0858C33D-982D-4B2A-B0BA-8D74FED7E846}" name="Has Storage in RISE?" dataDxfId="1"/>
    <tableColumn id="10" xr3:uid="{B8CED170-E482-44DF-BBE8-19D615B7690F}" name="RISE Storage Start Date"/>
    <tableColumn id="9" xr3:uid="{DDFF871E-60D5-4336-B1D6-E7995A0654EA}" name="RISE Storage End Date"/>
    <tableColumn id="12" xr3:uid="{46BDAD65-3792-49EC-9CBC-D7A58C44BC93}" name="RISE Number of Results"/>
    <tableColumn id="15" xr3:uid="{4F2AAB7E-143A-4736-9775-16CF8F6E9739}" name="Start Date Before 10/1/1990?"/>
    <tableColumn id="14" xr3:uid="{874CA84F-C813-4A09-9DF4-0BE1369A08CC}" name="End Date After 9/30/2020?"/>
    <tableColumn id="13" xr3:uid="{C213CB9F-32EB-454E-897C-E9935363A306}" name="Has  Storage for Full Averaging Period?"/>
    <tableColumn id="34" xr3:uid="{4AAC1146-DE8D-4F1C-A876-2CC5C6963509}" name="Notes"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usbr.gov/uc/water/hydrodata/reservoir_data/961/dashboard.html" TargetMode="External"/><Relationship Id="rId7" Type="http://schemas.openxmlformats.org/officeDocument/2006/relationships/table" Target="../tables/table1.xml"/><Relationship Id="rId2" Type="http://schemas.openxmlformats.org/officeDocument/2006/relationships/hyperlink" Target="https://water.sec.usace.army.mil/overview/nwdm/locations/ftpk" TargetMode="External"/><Relationship Id="rId1" Type="http://schemas.openxmlformats.org/officeDocument/2006/relationships/hyperlink" Target="https://www.troa.net/tis/%20https:/nevada.usgs.gov/tahoe/LakeElevation.html" TargetMode="External"/><Relationship Id="rId6" Type="http://schemas.openxmlformats.org/officeDocument/2006/relationships/hyperlink" Target="https://water.usace.army.mil/overview/nww/locations/luc" TargetMode="External"/><Relationship Id="rId5" Type="http://schemas.openxmlformats.org/officeDocument/2006/relationships/hyperlink" Target="https://www.usbr.gov/uc/water/hydrodata/reservoir_data/924/dashboard.html" TargetMode="External"/><Relationship Id="rId4" Type="http://schemas.openxmlformats.org/officeDocument/2006/relationships/hyperlink" Target="https://www.usbr.gov/uc/water/hydrodata/reservoir_data/3606/dashboard.html%20Daily%20storage%20data%20available%20in%20HDB,%20capacity%20data%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B6AC-83EF-4EC1-8869-2A05625FBA69}">
  <dimension ref="A1:AX504"/>
  <sheetViews>
    <sheetView tabSelected="1" topLeftCell="H1" zoomScale="96" zoomScaleNormal="96" workbookViewId="0">
      <selection activeCell="I2" sqref="I2"/>
    </sheetView>
  </sheetViews>
  <sheetFormatPr defaultColWidth="8.85546875" defaultRowHeight="16.5" customHeight="1"/>
  <cols>
    <col min="1" max="1" width="23.28515625" customWidth="1"/>
    <col min="2" max="2" width="20.28515625" customWidth="1"/>
    <col min="3" max="3" width="28.42578125" customWidth="1"/>
    <col min="4" max="4" width="25.85546875" customWidth="1"/>
    <col min="5" max="5" width="25.42578125" customWidth="1"/>
    <col min="6" max="6" width="18" customWidth="1"/>
    <col min="7" max="7" width="13.7109375" customWidth="1"/>
    <col min="8" max="8" width="25.7109375" customWidth="1"/>
    <col min="9" max="9" width="12.7109375" customWidth="1"/>
    <col min="10" max="10" width="15.85546875" customWidth="1"/>
    <col min="11" max="11" width="17.42578125" customWidth="1"/>
    <col min="12" max="13" width="15" customWidth="1"/>
    <col min="14" max="14" width="13.140625" customWidth="1"/>
    <col min="15" max="15" width="24.7109375" customWidth="1"/>
    <col min="16" max="16" width="35.85546875" style="4" customWidth="1"/>
    <col min="17" max="19" width="16.28515625" customWidth="1"/>
    <col min="20" max="20" width="38.28515625" customWidth="1"/>
    <col min="21" max="21" width="46.85546875" customWidth="1"/>
    <col min="22" max="23" width="33.7109375" customWidth="1"/>
    <col min="24" max="24" width="27.42578125" customWidth="1"/>
    <col min="25" max="27" width="15.140625" style="7" customWidth="1"/>
    <col min="28" max="29" width="13.42578125" customWidth="1"/>
    <col min="30" max="30" width="12.85546875" customWidth="1"/>
    <col min="31" max="31" width="27.42578125" customWidth="1"/>
    <col min="32" max="32" width="18" customWidth="1"/>
    <col min="33" max="34" width="40.140625" customWidth="1"/>
    <col min="35" max="35" width="19.42578125" customWidth="1"/>
    <col min="36" max="36" width="11.140625" customWidth="1"/>
    <col min="37" max="37" width="14.7109375" customWidth="1"/>
    <col min="38" max="39" width="11.42578125" customWidth="1"/>
    <col min="40" max="40" width="14.42578125" customWidth="1"/>
    <col min="41" max="41" width="21.42578125" customWidth="1"/>
    <col min="42" max="42" width="22" customWidth="1"/>
    <col min="43" max="44" width="19.7109375" customWidth="1"/>
    <col min="45" max="45" width="14.42578125" customWidth="1"/>
    <col min="46" max="46" width="12" customWidth="1"/>
    <col min="47" max="47" width="15.28515625" customWidth="1"/>
    <col min="48" max="53" width="12.42578125" customWidth="1"/>
    <col min="54" max="54" width="38.140625" customWidth="1"/>
    <col min="55" max="55" width="31.7109375" customWidth="1"/>
  </cols>
  <sheetData>
    <row r="1" spans="1:50" s="4" customFormat="1" ht="46.5" customHeight="1">
      <c r="A1" s="35" t="s">
        <v>0</v>
      </c>
      <c r="B1" s="34" t="s">
        <v>1</v>
      </c>
      <c r="C1" s="34" t="s">
        <v>2</v>
      </c>
      <c r="D1" s="34" t="s">
        <v>3</v>
      </c>
      <c r="E1" s="34" t="s">
        <v>4</v>
      </c>
      <c r="F1" s="54" t="s">
        <v>5</v>
      </c>
      <c r="G1" s="54" t="s">
        <v>6</v>
      </c>
      <c r="H1" s="34" t="s">
        <v>7</v>
      </c>
      <c r="I1" s="34" t="s">
        <v>8</v>
      </c>
      <c r="J1" s="34" t="s">
        <v>9</v>
      </c>
      <c r="K1" s="34" t="s">
        <v>10</v>
      </c>
      <c r="L1" s="34" t="s">
        <v>11</v>
      </c>
      <c r="M1" s="47" t="s">
        <v>12</v>
      </c>
      <c r="N1" s="34" t="s">
        <v>13</v>
      </c>
      <c r="O1" s="34" t="s">
        <v>14</v>
      </c>
      <c r="P1" s="34" t="s">
        <v>15</v>
      </c>
      <c r="Q1" s="34" t="s">
        <v>16</v>
      </c>
      <c r="R1" s="34" t="s">
        <v>17</v>
      </c>
      <c r="S1" s="34" t="s">
        <v>18</v>
      </c>
      <c r="T1" s="34" t="s">
        <v>19</v>
      </c>
      <c r="U1" s="34" t="s">
        <v>20</v>
      </c>
      <c r="V1" s="1" t="s">
        <v>21</v>
      </c>
      <c r="W1" s="10" t="s">
        <v>22</v>
      </c>
      <c r="X1" s="10" t="s">
        <v>23</v>
      </c>
      <c r="Y1" s="10" t="s">
        <v>24</v>
      </c>
      <c r="Z1" s="6" t="s">
        <v>25</v>
      </c>
      <c r="AA1" s="5" t="s">
        <v>26</v>
      </c>
      <c r="AB1" s="5" t="s">
        <v>27</v>
      </c>
      <c r="AC1" s="5" t="s">
        <v>28</v>
      </c>
      <c r="AD1" s="1" t="s">
        <v>29</v>
      </c>
      <c r="AE1" s="5" t="s">
        <v>30</v>
      </c>
      <c r="AF1" s="5" t="s">
        <v>31</v>
      </c>
      <c r="AG1" s="1" t="s">
        <v>32</v>
      </c>
      <c r="AH1" s="1" t="s">
        <v>33</v>
      </c>
      <c r="AI1" s="1" t="s">
        <v>34</v>
      </c>
      <c r="AJ1" s="1" t="s">
        <v>35</v>
      </c>
      <c r="AK1" s="3" t="s">
        <v>36</v>
      </c>
      <c r="AL1" s="3" t="s">
        <v>37</v>
      </c>
      <c r="AM1" s="3" t="s">
        <v>38</v>
      </c>
      <c r="AN1" s="3" t="s">
        <v>39</v>
      </c>
      <c r="AO1" s="3" t="s">
        <v>40</v>
      </c>
      <c r="AP1" s="3" t="s">
        <v>41</v>
      </c>
      <c r="AQ1" s="3" t="s">
        <v>42</v>
      </c>
      <c r="AR1" s="3" t="s">
        <v>43</v>
      </c>
      <c r="AS1" s="3" t="s">
        <v>44</v>
      </c>
      <c r="AT1" s="3" t="s">
        <v>45</v>
      </c>
      <c r="AU1" s="3" t="s">
        <v>46</v>
      </c>
      <c r="AV1" s="3" t="s">
        <v>47</v>
      </c>
      <c r="AW1" s="3" t="s">
        <v>48</v>
      </c>
      <c r="AX1" s="8" t="s">
        <v>49</v>
      </c>
    </row>
    <row r="2" spans="1:50" ht="13.5" customHeight="1">
      <c r="A2" s="36" t="s">
        <v>50</v>
      </c>
      <c r="B2" s="33" t="s">
        <v>51</v>
      </c>
      <c r="C2" s="28" t="s">
        <v>52</v>
      </c>
      <c r="D2" s="28" t="s">
        <v>53</v>
      </c>
      <c r="E2" s="28" t="s">
        <v>54</v>
      </c>
      <c r="F2" s="28">
        <v>3205</v>
      </c>
      <c r="G2" s="28" t="s">
        <v>55</v>
      </c>
      <c r="H2" s="28" t="s">
        <v>56</v>
      </c>
      <c r="I2" s="28" t="s">
        <v>57</v>
      </c>
      <c r="J2" s="28"/>
      <c r="K2" s="28"/>
      <c r="L2" s="50" t="e">
        <v>#VALUE!</v>
      </c>
      <c r="M2" s="48">
        <v>1662770</v>
      </c>
      <c r="N2" s="50">
        <v>1662770</v>
      </c>
      <c r="O2" s="28"/>
      <c r="P2" s="37" t="s">
        <v>58</v>
      </c>
      <c r="Q2" s="33">
        <v>1662770</v>
      </c>
      <c r="R2" s="33"/>
      <c r="S2" s="45" t="s">
        <v>59</v>
      </c>
      <c r="T2" s="33" t="s">
        <v>50</v>
      </c>
      <c r="U2" s="33" t="s">
        <v>60</v>
      </c>
      <c r="V2" s="17" t="s">
        <v>61</v>
      </c>
      <c r="W2" s="12" t="b">
        <f>ISNUMBER(Table810[[#This Row],[EAR Total Capacity]])</f>
        <v>0</v>
      </c>
      <c r="X2" s="12" t="b">
        <f>IF(Table810[[#This Row],[Has  Storage for Full Averaging Period?]]="OK",TRUE,FALSE)</f>
        <v>0</v>
      </c>
      <c r="Y2" s="12" t="b">
        <f>IFERROR(IF(YEAR(Table810[[#This Row],[RISE Storage End Date]])=2025,TRUE,FALSE),FALSE)</f>
        <v>0</v>
      </c>
      <c r="Z2" s="11" t="b">
        <v>0</v>
      </c>
      <c r="AA2" s="16" t="s">
        <v>61</v>
      </c>
      <c r="AB2" s="17" t="s">
        <v>61</v>
      </c>
      <c r="AC2" s="17" t="s">
        <v>61</v>
      </c>
      <c r="AD2" s="17" t="s">
        <v>61</v>
      </c>
      <c r="AE2" s="17" t="s">
        <v>61</v>
      </c>
      <c r="AF2" s="17" t="s">
        <v>61</v>
      </c>
      <c r="AG2" s="17" t="s">
        <v>61</v>
      </c>
      <c r="AH2" s="17" t="s">
        <v>61</v>
      </c>
      <c r="AI2" s="17" t="s">
        <v>61</v>
      </c>
      <c r="AJ2" s="17" t="s">
        <v>61</v>
      </c>
      <c r="AK2" s="18"/>
      <c r="AL2" s="18"/>
      <c r="AM2" s="13" t="s">
        <v>62</v>
      </c>
      <c r="AN2" s="11" t="s">
        <v>63</v>
      </c>
      <c r="AO2" s="11" t="s">
        <v>50</v>
      </c>
      <c r="AP2" s="11" t="e">
        <v>#N/A</v>
      </c>
      <c r="AQ2" s="21" t="s">
        <v>64</v>
      </c>
      <c r="AR2" s="26">
        <v>27031</v>
      </c>
      <c r="AS2" s="26">
        <v>43969</v>
      </c>
      <c r="AT2" s="25">
        <v>16939</v>
      </c>
      <c r="AU2" s="25" t="s">
        <v>65</v>
      </c>
      <c r="AV2" s="25" t="s">
        <v>66</v>
      </c>
      <c r="AW2" s="25" t="s">
        <v>66</v>
      </c>
      <c r="AX2" s="23"/>
    </row>
    <row r="3" spans="1:50" ht="16.5" customHeight="1">
      <c r="A3" s="36" t="s">
        <v>67</v>
      </c>
      <c r="B3" s="28" t="s">
        <v>68</v>
      </c>
      <c r="C3" s="28" t="s">
        <v>69</v>
      </c>
      <c r="D3" s="28"/>
      <c r="E3" s="28" t="s">
        <v>70</v>
      </c>
      <c r="F3" s="28">
        <v>7166</v>
      </c>
      <c r="G3" s="28">
        <v>3</v>
      </c>
      <c r="H3" s="28" t="str">
        <f>IF(ISNUMBER(Table810[[#This Row],[Total Capacity]]),"USBR Enterprise Asset Registry",IF(Table810[[#This Row],[Total Capacity]]="",""))</f>
        <v>USBR Enterprise Asset Registry</v>
      </c>
      <c r="I3" s="28" t="s">
        <v>71</v>
      </c>
      <c r="J3" s="28" t="s">
        <v>72</v>
      </c>
      <c r="K3" s="28"/>
      <c r="L3" s="50">
        <v>4670</v>
      </c>
      <c r="M3" s="48"/>
      <c r="N3" s="50">
        <v>4670</v>
      </c>
      <c r="O3" s="28"/>
      <c r="P3" s="37"/>
      <c r="Q3" s="28">
        <f>IF(OR(Table810[[#This Row],[Post-Review Decision]]="Include", Table810[[#This Row],[Post-Review Decision]]="Include if possible", Table810[[#This Row],[Post-Review Decision]]="Include (Omit % Avg if needed)",  Table810[[#This Row],[Post-Review Decision]]="Include (Omit % Avg)"),Table810[[#This Row],[EAR Total Capacity]],"")</f>
        <v>4780</v>
      </c>
      <c r="R3" s="28">
        <v>4670</v>
      </c>
      <c r="S3" s="46">
        <v>4720</v>
      </c>
      <c r="T3" s="28" t="s">
        <v>67</v>
      </c>
      <c r="U3" s="28" t="s">
        <v>73</v>
      </c>
      <c r="V3" s="13" t="s">
        <v>74</v>
      </c>
      <c r="W3" s="12" t="b">
        <f>ISNUMBER(Table810[[#This Row],[EAR Total Capacity]])</f>
        <v>1</v>
      </c>
      <c r="X3" s="12" t="s">
        <v>75</v>
      </c>
      <c r="Y3" s="12" t="b">
        <f>IFERROR(IF(YEAR(Table810[[#This Row],[RISE Storage End Date]])=2025,TRUE,FALSE),FALSE)</f>
        <v>0</v>
      </c>
      <c r="Z3" s="11" t="b">
        <v>0</v>
      </c>
      <c r="AA3" s="13">
        <v>1</v>
      </c>
      <c r="AB3" s="13" t="s">
        <v>76</v>
      </c>
      <c r="AC3" s="13" t="s">
        <v>77</v>
      </c>
      <c r="AD3" s="13" t="s">
        <v>67</v>
      </c>
      <c r="AE3" s="13" t="s">
        <v>78</v>
      </c>
      <c r="AF3" s="13" t="s">
        <v>79</v>
      </c>
      <c r="AG3" s="13" t="s">
        <v>80</v>
      </c>
      <c r="AH3" s="13" t="s">
        <v>81</v>
      </c>
      <c r="AI3" s="13" t="s">
        <v>82</v>
      </c>
      <c r="AJ3" s="19">
        <v>4780</v>
      </c>
      <c r="AK3" s="18"/>
      <c r="AL3" s="18"/>
      <c r="AM3" s="13" t="s">
        <v>83</v>
      </c>
      <c r="AN3" s="13" t="s">
        <v>84</v>
      </c>
      <c r="AO3" s="13" t="s">
        <v>67</v>
      </c>
      <c r="AP3" s="13" t="s">
        <v>67</v>
      </c>
      <c r="AQ3" s="21" t="s">
        <v>64</v>
      </c>
      <c r="AR3" s="25"/>
      <c r="AS3" s="25"/>
      <c r="AT3" s="25"/>
      <c r="AU3" s="25"/>
      <c r="AV3" s="25"/>
      <c r="AW3" s="25"/>
      <c r="AX3" s="24"/>
    </row>
    <row r="4" spans="1:50" ht="16.5" customHeight="1">
      <c r="A4" s="36" t="s">
        <v>85</v>
      </c>
      <c r="B4" s="28" t="s">
        <v>68</v>
      </c>
      <c r="C4" s="28" t="s">
        <v>86</v>
      </c>
      <c r="D4" s="28"/>
      <c r="E4" s="28" t="s">
        <v>70</v>
      </c>
      <c r="F4" s="28">
        <v>259</v>
      </c>
      <c r="G4" s="28">
        <v>3</v>
      </c>
      <c r="H4" s="28" t="str">
        <f>IF(ISNUMBER(Table810[[#This Row],[Total Capacity]]),"USBR Enterprise Asset Registry",IF(Table810[[#This Row],[Total Capacity]]="",""))</f>
        <v>USBR Enterprise Asset Registry</v>
      </c>
      <c r="I4" s="28" t="s">
        <v>57</v>
      </c>
      <c r="J4" s="28" t="s">
        <v>72</v>
      </c>
      <c r="K4" s="28"/>
      <c r="L4" s="50">
        <v>184405</v>
      </c>
      <c r="M4" s="48"/>
      <c r="N4" s="50">
        <v>184405</v>
      </c>
      <c r="O4" s="28"/>
      <c r="P4" s="37"/>
      <c r="Q4" s="28">
        <f>IF(OR(Table810[[#This Row],[Post-Review Decision]]="Include", Table810[[#This Row],[Post-Review Decision]]="Include if possible", Table810[[#This Row],[Post-Review Decision]]="Include (Omit % Avg if needed)",  Table810[[#This Row],[Post-Review Decision]]="Include (Omit % Avg)"),Table810[[#This Row],[EAR Total Capacity]],"")</f>
        <v>184405</v>
      </c>
      <c r="R4" s="28">
        <v>30603</v>
      </c>
      <c r="S4" s="46">
        <v>184314</v>
      </c>
      <c r="T4" s="28" t="s">
        <v>85</v>
      </c>
      <c r="U4" s="28" t="s">
        <v>87</v>
      </c>
      <c r="V4" s="13" t="s">
        <v>88</v>
      </c>
      <c r="W4" s="12" t="b">
        <f>ISNUMBER(Table810[[#This Row],[EAR Total Capacity]])</f>
        <v>1</v>
      </c>
      <c r="X4" s="12" t="b">
        <f>IF(Table810[[#This Row],[Has  Storage for Full Averaging Period?]]="OK",TRUE,FALSE)</f>
        <v>1</v>
      </c>
      <c r="Y4" s="12" t="b">
        <f>IFERROR(IF(YEAR(Table810[[#This Row],[RISE Storage End Date]])=2025,TRUE,FALSE),FALSE)</f>
        <v>1</v>
      </c>
      <c r="Z4" s="11" t="b">
        <v>0</v>
      </c>
      <c r="AA4" s="13">
        <v>2</v>
      </c>
      <c r="AB4" s="13" t="s">
        <v>76</v>
      </c>
      <c r="AC4" s="13" t="s">
        <v>89</v>
      </c>
      <c r="AD4" s="13" t="s">
        <v>85</v>
      </c>
      <c r="AE4" s="13" t="s">
        <v>78</v>
      </c>
      <c r="AF4" s="13" t="s">
        <v>90</v>
      </c>
      <c r="AG4" s="13" t="s">
        <v>91</v>
      </c>
      <c r="AH4" s="13" t="s">
        <v>92</v>
      </c>
      <c r="AI4" s="13" t="s">
        <v>93</v>
      </c>
      <c r="AJ4" s="14">
        <v>184405</v>
      </c>
      <c r="AK4" s="18"/>
      <c r="AL4" s="18"/>
      <c r="AM4" s="13" t="s">
        <v>94</v>
      </c>
      <c r="AN4" s="13" t="s">
        <v>95</v>
      </c>
      <c r="AO4" s="13" t="s">
        <v>85</v>
      </c>
      <c r="AP4" s="13" t="s">
        <v>85</v>
      </c>
      <c r="AQ4" s="21" t="s">
        <v>64</v>
      </c>
      <c r="AR4" s="26">
        <v>16711</v>
      </c>
      <c r="AS4" s="26">
        <v>46007</v>
      </c>
      <c r="AT4" s="25">
        <v>29301</v>
      </c>
      <c r="AU4" s="25" t="s">
        <v>65</v>
      </c>
      <c r="AV4" s="25" t="s">
        <v>65</v>
      </c>
      <c r="AW4" s="25" t="s">
        <v>65</v>
      </c>
      <c r="AX4" s="24"/>
    </row>
    <row r="5" spans="1:50" ht="16.5" customHeight="1">
      <c r="A5" s="36" t="s">
        <v>96</v>
      </c>
      <c r="B5" s="28"/>
      <c r="C5" s="28" t="s">
        <v>97</v>
      </c>
      <c r="D5" s="28"/>
      <c r="E5" s="28"/>
      <c r="F5" s="28" t="s">
        <v>61</v>
      </c>
      <c r="G5" s="28"/>
      <c r="H5" s="28" t="str">
        <f>IF(ISNUMBER(Table810[[#This Row],[Total Capacity]]),"USBR Enterprise Asset Registry",IF(Table810[[#This Row],[Total Capacity]]="",""))</f>
        <v/>
      </c>
      <c r="I5" s="28"/>
      <c r="J5" s="28"/>
      <c r="K5" s="28"/>
      <c r="L5" s="50" t="s">
        <v>98</v>
      </c>
      <c r="M5" s="48"/>
      <c r="N5" s="50" t="s">
        <v>98</v>
      </c>
      <c r="O5" s="28"/>
      <c r="P5" s="37"/>
      <c r="Q5" s="28" t="str">
        <f>IF(OR(Table810[[#This Row],[Post-Review Decision]]="Include", Table810[[#This Row],[Post-Review Decision]]="Include if possible", Table810[[#This Row],[Post-Review Decision]]="Include (Omit % Avg if needed)",  Table810[[#This Row],[Post-Review Decision]]="Include (Omit % Avg)"),Table810[[#This Row],[EAR Total Capacity]],"")</f>
        <v/>
      </c>
      <c r="R5" s="28"/>
      <c r="S5" s="45">
        <v>0</v>
      </c>
      <c r="T5" s="28"/>
      <c r="U5" s="28"/>
      <c r="V5" s="13" t="s">
        <v>99</v>
      </c>
      <c r="W5" s="12" t="b">
        <f>ISNUMBER(Table810[[#This Row],[EAR Total Capacity]])</f>
        <v>0</v>
      </c>
      <c r="X5" s="12" t="b">
        <f>IF(Table810[[#This Row],[Has  Storage for Full Averaging Period?]]="OK",TRUE,FALSE)</f>
        <v>0</v>
      </c>
      <c r="Y5" s="12" t="b">
        <f>IFERROR(IF(YEAR(Table810[[#This Row],[RISE Storage End Date]])=2025,TRUE,FALSE),FALSE)</f>
        <v>0</v>
      </c>
      <c r="Z5" s="11" t="b">
        <v>0</v>
      </c>
      <c r="AA5" s="13">
        <v>3</v>
      </c>
      <c r="AB5" s="13" t="s">
        <v>76</v>
      </c>
      <c r="AC5" s="13" t="s">
        <v>100</v>
      </c>
      <c r="AD5" s="13" t="s">
        <v>96</v>
      </c>
      <c r="AE5" s="13" t="s">
        <v>101</v>
      </c>
      <c r="AF5" s="13" t="s">
        <v>96</v>
      </c>
      <c r="AG5" s="13" t="s">
        <v>91</v>
      </c>
      <c r="AH5" s="13" t="s">
        <v>102</v>
      </c>
      <c r="AI5" s="13" t="s">
        <v>103</v>
      </c>
      <c r="AJ5" s="14"/>
      <c r="AK5" s="15"/>
      <c r="AL5" s="15"/>
      <c r="AM5" s="15" t="s">
        <v>61</v>
      </c>
      <c r="AN5" s="15" t="s">
        <v>61</v>
      </c>
      <c r="AO5" s="15" t="s">
        <v>61</v>
      </c>
      <c r="AP5" s="15" t="s">
        <v>61</v>
      </c>
      <c r="AQ5" s="22"/>
      <c r="AR5" s="25"/>
      <c r="AS5" s="25"/>
      <c r="AT5" s="25"/>
      <c r="AU5" s="25"/>
      <c r="AV5" s="25"/>
      <c r="AW5" s="25"/>
      <c r="AX5" s="24"/>
    </row>
    <row r="6" spans="1:50" ht="16.5" customHeight="1">
      <c r="A6" s="36" t="s">
        <v>104</v>
      </c>
      <c r="B6" s="28" t="s">
        <v>68</v>
      </c>
      <c r="C6" s="28" t="s">
        <v>86</v>
      </c>
      <c r="D6" s="28"/>
      <c r="E6" s="28" t="s">
        <v>70</v>
      </c>
      <c r="F6" s="28">
        <v>266</v>
      </c>
      <c r="G6" s="28">
        <v>3</v>
      </c>
      <c r="H6" s="28" t="str">
        <f>IF(ISNUMBER(Table810[[#This Row],[Total Capacity]]),"USBR Enterprise Asset Registry",IF(Table810[[#This Row],[Total Capacity]]="",""))</f>
        <v>USBR Enterprise Asset Registry</v>
      </c>
      <c r="I6" s="28" t="s">
        <v>57</v>
      </c>
      <c r="J6" s="28" t="s">
        <v>72</v>
      </c>
      <c r="K6" s="28"/>
      <c r="L6" s="50">
        <v>11034</v>
      </c>
      <c r="M6" s="48"/>
      <c r="N6" s="50">
        <v>11034</v>
      </c>
      <c r="O6" s="28"/>
      <c r="P6" s="37"/>
      <c r="Q6" s="28">
        <f>IF(OR(Table810[[#This Row],[Post-Review Decision]]="Include", Table810[[#This Row],[Post-Review Decision]]="Include if possible", Table810[[#This Row],[Post-Review Decision]]="Include (Omit % Avg if needed)",  Table810[[#This Row],[Post-Review Decision]]="Include (Omit % Avg)"),Table810[[#This Row],[EAR Total Capacity]],"")</f>
        <v>11034</v>
      </c>
      <c r="R6" s="28">
        <v>11034</v>
      </c>
      <c r="S6" s="46">
        <v>11034</v>
      </c>
      <c r="T6" s="28" t="s">
        <v>105</v>
      </c>
      <c r="U6" s="28" t="s">
        <v>106</v>
      </c>
      <c r="V6" s="13" t="s">
        <v>107</v>
      </c>
      <c r="W6" s="12" t="b">
        <f>ISNUMBER(Table810[[#This Row],[EAR Total Capacity]])</f>
        <v>1</v>
      </c>
      <c r="X6" s="12" t="b">
        <f>IF(Table810[[#This Row],[Has  Storage for Full Averaging Period?]]="OK",TRUE,FALSE)</f>
        <v>1</v>
      </c>
      <c r="Y6" s="12" t="b">
        <f>IFERROR(IF(YEAR(Table810[[#This Row],[RISE Storage End Date]])=2025,TRUE,FALSE),FALSE)</f>
        <v>1</v>
      </c>
      <c r="Z6" s="11" t="b">
        <v>0</v>
      </c>
      <c r="AA6" s="13">
        <v>202</v>
      </c>
      <c r="AB6" s="13" t="s">
        <v>76</v>
      </c>
      <c r="AC6" s="13" t="s">
        <v>105</v>
      </c>
      <c r="AD6" s="13" t="s">
        <v>104</v>
      </c>
      <c r="AE6" s="13" t="s">
        <v>78</v>
      </c>
      <c r="AF6" s="13" t="s">
        <v>108</v>
      </c>
      <c r="AG6" s="13" t="s">
        <v>109</v>
      </c>
      <c r="AH6" s="13" t="s">
        <v>92</v>
      </c>
      <c r="AI6" s="13" t="s">
        <v>110</v>
      </c>
      <c r="AJ6" s="13">
        <v>11034</v>
      </c>
      <c r="AK6" s="18"/>
      <c r="AL6" s="18"/>
      <c r="AM6" s="13" t="s">
        <v>111</v>
      </c>
      <c r="AN6" s="13" t="s">
        <v>95</v>
      </c>
      <c r="AO6" s="13" t="s">
        <v>104</v>
      </c>
      <c r="AP6" s="13" t="s">
        <v>104</v>
      </c>
      <c r="AQ6" s="21" t="s">
        <v>64</v>
      </c>
      <c r="AR6" s="26">
        <v>33146</v>
      </c>
      <c r="AS6" s="26">
        <v>46007</v>
      </c>
      <c r="AT6" s="25">
        <v>12863</v>
      </c>
      <c r="AU6" s="25" t="s">
        <v>65</v>
      </c>
      <c r="AV6" s="25" t="s">
        <v>65</v>
      </c>
      <c r="AW6" s="25" t="s">
        <v>65</v>
      </c>
      <c r="AX6" s="24"/>
    </row>
    <row r="7" spans="1:50" ht="16.5" customHeight="1">
      <c r="A7" s="36" t="s">
        <v>112</v>
      </c>
      <c r="B7" s="28" t="s">
        <v>68</v>
      </c>
      <c r="C7" s="28" t="s">
        <v>86</v>
      </c>
      <c r="D7" s="28"/>
      <c r="E7" s="28" t="s">
        <v>70</v>
      </c>
      <c r="F7" s="28">
        <v>394</v>
      </c>
      <c r="G7" s="28">
        <v>3</v>
      </c>
      <c r="H7" s="28" t="str">
        <f>IF(ISNUMBER(Table810[[#This Row],[Total Capacity]]),"USBR Enterprise Asset Registry",IF(Table810[[#This Row],[Total Capacity]]="",""))</f>
        <v>USBR Enterprise Asset Registry</v>
      </c>
      <c r="I7" s="28" t="s">
        <v>57</v>
      </c>
      <c r="J7" s="28" t="s">
        <v>72</v>
      </c>
      <c r="K7" s="28"/>
      <c r="L7" s="50">
        <v>1166</v>
      </c>
      <c r="M7" s="48"/>
      <c r="N7" s="50">
        <v>1166</v>
      </c>
      <c r="O7" s="28"/>
      <c r="P7" s="37"/>
      <c r="Q7" s="28">
        <f>IF(OR(Table810[[#This Row],[Post-Review Decision]]="Include", Table810[[#This Row],[Post-Review Decision]]="Include if possible", Table810[[#This Row],[Post-Review Decision]]="Include (Omit % Avg if needed)",  Table810[[#This Row],[Post-Review Decision]]="Include (Omit % Avg)"),Table810[[#This Row],[EAR Total Capacity]],"")</f>
        <v>1166</v>
      </c>
      <c r="R7" s="28">
        <v>1143</v>
      </c>
      <c r="S7" s="46">
        <v>1143</v>
      </c>
      <c r="T7" s="28" t="s">
        <v>113</v>
      </c>
      <c r="U7" s="28" t="s">
        <v>114</v>
      </c>
      <c r="V7" s="13" t="s">
        <v>107</v>
      </c>
      <c r="W7" s="12" t="b">
        <f>ISNUMBER(Table810[[#This Row],[EAR Total Capacity]])</f>
        <v>1</v>
      </c>
      <c r="X7" s="12" t="b">
        <f>IF(Table810[[#This Row],[Has  Storage for Full Averaging Period?]]="OK",TRUE,FALSE)</f>
        <v>1</v>
      </c>
      <c r="Y7" s="12" t="b">
        <f>IFERROR(IF(YEAR(Table810[[#This Row],[RISE Storage End Date]])=2025,TRUE,FALSE),FALSE)</f>
        <v>1</v>
      </c>
      <c r="Z7" s="11" t="b">
        <v>0</v>
      </c>
      <c r="AA7" s="13">
        <v>203</v>
      </c>
      <c r="AB7" s="13" t="s">
        <v>76</v>
      </c>
      <c r="AC7" s="13" t="s">
        <v>115</v>
      </c>
      <c r="AD7" s="13" t="s">
        <v>112</v>
      </c>
      <c r="AE7" s="13" t="s">
        <v>78</v>
      </c>
      <c r="AF7" s="13" t="s">
        <v>116</v>
      </c>
      <c r="AG7" s="13" t="s">
        <v>109</v>
      </c>
      <c r="AH7" s="13" t="s">
        <v>92</v>
      </c>
      <c r="AI7" s="13" t="s">
        <v>110</v>
      </c>
      <c r="AJ7" s="14">
        <v>1166</v>
      </c>
      <c r="AK7" s="18"/>
      <c r="AL7" s="18"/>
      <c r="AM7" s="13" t="s">
        <v>117</v>
      </c>
      <c r="AN7" s="13" t="s">
        <v>95</v>
      </c>
      <c r="AO7" s="13" t="s">
        <v>113</v>
      </c>
      <c r="AP7" s="13" t="e">
        <v>#N/A</v>
      </c>
      <c r="AQ7" s="21" t="s">
        <v>64</v>
      </c>
      <c r="AR7" s="26">
        <v>32982</v>
      </c>
      <c r="AS7" s="26">
        <v>46006</v>
      </c>
      <c r="AT7" s="25">
        <v>13026</v>
      </c>
      <c r="AU7" s="25" t="s">
        <v>65</v>
      </c>
      <c r="AV7" s="25" t="s">
        <v>65</v>
      </c>
      <c r="AW7" s="25" t="s">
        <v>65</v>
      </c>
      <c r="AX7" s="24" t="s">
        <v>118</v>
      </c>
    </row>
    <row r="8" spans="1:50" ht="16.5" customHeight="1">
      <c r="A8" s="36" t="s">
        <v>119</v>
      </c>
      <c r="B8" s="28"/>
      <c r="C8" s="28" t="s">
        <v>97</v>
      </c>
      <c r="D8" s="28"/>
      <c r="E8" s="28"/>
      <c r="F8" s="28" t="s">
        <v>61</v>
      </c>
      <c r="G8" s="28"/>
      <c r="H8" s="28" t="str">
        <f>IF(ISNUMBER(Table810[[#This Row],[Total Capacity]]),"USBR Enterprise Asset Registry",IF(Table810[[#This Row],[Total Capacity]]="",""))</f>
        <v/>
      </c>
      <c r="I8" s="28"/>
      <c r="J8" s="28"/>
      <c r="K8" s="28"/>
      <c r="L8" s="50" t="s">
        <v>98</v>
      </c>
      <c r="M8" s="48"/>
      <c r="N8" s="50" t="s">
        <v>98</v>
      </c>
      <c r="O8" s="28"/>
      <c r="P8" s="37" t="s">
        <v>120</v>
      </c>
      <c r="Q8" s="28" t="str">
        <f>IF(OR(Table810[[#This Row],[Post-Review Decision]]="Include", Table810[[#This Row],[Post-Review Decision]]="Include if possible", Table810[[#This Row],[Post-Review Decision]]="Include (Omit % Avg if needed)",  Table810[[#This Row],[Post-Review Decision]]="Include (Omit % Avg)"),Table810[[#This Row],[EAR Total Capacity]],"")</f>
        <v/>
      </c>
      <c r="R8" s="28"/>
      <c r="S8" s="45">
        <v>0</v>
      </c>
      <c r="T8" s="28"/>
      <c r="U8" s="28"/>
      <c r="V8" s="13" t="s">
        <v>121</v>
      </c>
      <c r="W8" s="12" t="b">
        <f>ISNUMBER(Table810[[#This Row],[EAR Total Capacity]])</f>
        <v>0</v>
      </c>
      <c r="X8" s="12" t="b">
        <f>IF(Table810[[#This Row],[Has  Storage for Full Averaging Period?]]="OK",TRUE,FALSE)</f>
        <v>0</v>
      </c>
      <c r="Y8" s="12" t="b">
        <f>IFERROR(IF(YEAR(Table810[[#This Row],[RISE Storage End Date]])=2025,TRUE,FALSE),FALSE)</f>
        <v>0</v>
      </c>
      <c r="Z8" s="11" t="b">
        <v>0</v>
      </c>
      <c r="AA8" s="13">
        <v>4</v>
      </c>
      <c r="AB8" s="13" t="s">
        <v>76</v>
      </c>
      <c r="AC8" s="13" t="s">
        <v>122</v>
      </c>
      <c r="AD8" s="13" t="s">
        <v>119</v>
      </c>
      <c r="AE8" s="13" t="s">
        <v>101</v>
      </c>
      <c r="AF8" s="13" t="s">
        <v>123</v>
      </c>
      <c r="AG8" s="13" t="s">
        <v>109</v>
      </c>
      <c r="AH8" s="13" t="s">
        <v>92</v>
      </c>
      <c r="AI8" s="13" t="s">
        <v>103</v>
      </c>
      <c r="AJ8" s="14"/>
      <c r="AK8" s="15"/>
      <c r="AL8" s="15"/>
      <c r="AM8" s="15" t="s">
        <v>61</v>
      </c>
      <c r="AN8" s="15" t="s">
        <v>61</v>
      </c>
      <c r="AO8" s="15" t="s">
        <v>61</v>
      </c>
      <c r="AP8" s="15" t="s">
        <v>61</v>
      </c>
      <c r="AQ8" s="22"/>
      <c r="AR8" s="25"/>
      <c r="AS8" s="25"/>
      <c r="AT8" s="25"/>
      <c r="AU8" s="25"/>
      <c r="AV8" s="25"/>
      <c r="AW8" s="25"/>
      <c r="AX8" s="24"/>
    </row>
    <row r="9" spans="1:50" ht="16.5" customHeight="1">
      <c r="A9" s="36" t="s">
        <v>124</v>
      </c>
      <c r="B9" s="28" t="s">
        <v>68</v>
      </c>
      <c r="C9" s="28" t="s">
        <v>52</v>
      </c>
      <c r="D9" s="28" t="s">
        <v>125</v>
      </c>
      <c r="E9" s="28" t="s">
        <v>126</v>
      </c>
      <c r="F9" s="28">
        <v>3640</v>
      </c>
      <c r="G9" s="28">
        <v>3</v>
      </c>
      <c r="H9" s="28" t="str">
        <f>IF(ISNUMBER(Table810[[#This Row],[Total Capacity]]),"USBR Enterprise Asset Registry",IF(Table810[[#This Row],[Total Capacity]]="",""))</f>
        <v>USBR Enterprise Asset Registry</v>
      </c>
      <c r="I9" s="28" t="s">
        <v>57</v>
      </c>
      <c r="J9" s="28" t="s">
        <v>127</v>
      </c>
      <c r="K9" s="28">
        <v>19515</v>
      </c>
      <c r="L9" s="50">
        <v>128410</v>
      </c>
      <c r="M9" s="48"/>
      <c r="N9" s="50">
        <v>128410</v>
      </c>
      <c r="O9" s="28"/>
      <c r="P9" s="37" t="s">
        <v>128</v>
      </c>
      <c r="Q9" s="28">
        <f>IF(OR(Table810[[#This Row],[Post-Review Decision]]="Include", Table810[[#This Row],[Post-Review Decision]]="Include if possible", Table810[[#This Row],[Post-Review Decision]]="Include (Omit % Avg if needed)",  Table810[[#This Row],[Post-Review Decision]]="Include (Omit % Avg)"),Table810[[#This Row],[EAR Total Capacity]],"")</f>
        <v>147925</v>
      </c>
      <c r="R9" s="28">
        <v>147387</v>
      </c>
      <c r="S9" s="46">
        <v>147387</v>
      </c>
      <c r="T9" s="28" t="s">
        <v>124</v>
      </c>
      <c r="U9" s="28" t="s">
        <v>129</v>
      </c>
      <c r="V9" s="13" t="s">
        <v>130</v>
      </c>
      <c r="W9" s="12" t="b">
        <f>ISNUMBER(Table810[[#This Row],[EAR Total Capacity]])</f>
        <v>1</v>
      </c>
      <c r="X9" s="12" t="b">
        <f>IF(Table810[[#This Row],[Has  Storage for Full Averaging Period?]]="OK",TRUE,FALSE)</f>
        <v>0</v>
      </c>
      <c r="Y9" s="12" t="b">
        <f>IFERROR(IF(YEAR(Table810[[#This Row],[RISE Storage End Date]])=2025,TRUE,FALSE),FALSE)</f>
        <v>0</v>
      </c>
      <c r="Z9" s="11" t="b">
        <v>0</v>
      </c>
      <c r="AA9" s="13">
        <v>204</v>
      </c>
      <c r="AB9" s="13" t="s">
        <v>76</v>
      </c>
      <c r="AC9" s="13" t="s">
        <v>131</v>
      </c>
      <c r="AD9" s="13" t="s">
        <v>124</v>
      </c>
      <c r="AE9" s="13" t="s">
        <v>78</v>
      </c>
      <c r="AF9" s="13" t="s">
        <v>132</v>
      </c>
      <c r="AG9" s="13" t="s">
        <v>133</v>
      </c>
      <c r="AH9" s="13" t="s">
        <v>92</v>
      </c>
      <c r="AI9" s="13" t="s">
        <v>93</v>
      </c>
      <c r="AJ9" s="14">
        <v>147925</v>
      </c>
      <c r="AK9" s="18"/>
      <c r="AL9" s="18"/>
      <c r="AM9" s="13" t="s">
        <v>134</v>
      </c>
      <c r="AN9" s="13" t="s">
        <v>135</v>
      </c>
      <c r="AO9" s="11" t="s">
        <v>124</v>
      </c>
      <c r="AP9" s="11" t="s">
        <v>124</v>
      </c>
      <c r="AQ9" s="21" t="s">
        <v>136</v>
      </c>
      <c r="AR9" s="25"/>
      <c r="AS9" s="25"/>
      <c r="AT9" s="25"/>
      <c r="AU9" s="25"/>
      <c r="AV9" s="25"/>
      <c r="AW9" s="25"/>
      <c r="AX9" s="24"/>
    </row>
    <row r="10" spans="1:50" ht="16.5" customHeight="1">
      <c r="A10" s="36" t="s">
        <v>137</v>
      </c>
      <c r="B10" s="28" t="s">
        <v>68</v>
      </c>
      <c r="C10" s="28" t="s">
        <v>69</v>
      </c>
      <c r="D10" s="28"/>
      <c r="E10" s="28" t="s">
        <v>70</v>
      </c>
      <c r="F10" s="28">
        <v>7167</v>
      </c>
      <c r="G10" s="28">
        <v>3</v>
      </c>
      <c r="H10" s="28" t="str">
        <f>IF(ISNUMBER(Table810[[#This Row],[Total Capacity]]),"USBR Enterprise Asset Registry",IF(Table810[[#This Row],[Total Capacity]]="",""))</f>
        <v>USBR Enterprise Asset Registry</v>
      </c>
      <c r="I10" s="28" t="s">
        <v>71</v>
      </c>
      <c r="J10" s="28" t="s">
        <v>72</v>
      </c>
      <c r="K10" s="28"/>
      <c r="L10" s="50">
        <v>1672590</v>
      </c>
      <c r="M10" s="48"/>
      <c r="N10" s="50">
        <v>1672590</v>
      </c>
      <c r="O10" s="28"/>
      <c r="P10" s="37"/>
      <c r="Q10" s="28">
        <f>IF(OR(Table810[[#This Row],[Post-Review Decision]]="Include", Table810[[#This Row],[Post-Review Decision]]="Include if possible", Table810[[#This Row],[Post-Review Decision]]="Include (Omit % Avg if needed)",  Table810[[#This Row],[Post-Review Decision]]="Include (Omit % Avg)"),Table810[[#This Row],[EAR Total Capacity]],"")</f>
        <v>1672590</v>
      </c>
      <c r="R10" s="28">
        <v>1672590</v>
      </c>
      <c r="S10" s="46">
        <v>1672590</v>
      </c>
      <c r="T10" s="28" t="s">
        <v>137</v>
      </c>
      <c r="U10" s="28" t="s">
        <v>138</v>
      </c>
      <c r="V10" s="13" t="s">
        <v>139</v>
      </c>
      <c r="W10" s="12" t="b">
        <f>ISNUMBER(Table810[[#This Row],[EAR Total Capacity]])</f>
        <v>1</v>
      </c>
      <c r="X10" s="12" t="s">
        <v>75</v>
      </c>
      <c r="Y10" s="12" t="b">
        <f>IFERROR(IF(YEAR(Table810[[#This Row],[RISE Storage End Date]])=2025,TRUE,FALSE),FALSE)</f>
        <v>0</v>
      </c>
      <c r="Z10" s="11" t="b">
        <v>0</v>
      </c>
      <c r="AA10" s="13">
        <v>5</v>
      </c>
      <c r="AB10" s="13" t="s">
        <v>76</v>
      </c>
      <c r="AC10" s="13" t="s">
        <v>140</v>
      </c>
      <c r="AD10" s="13" t="s">
        <v>137</v>
      </c>
      <c r="AE10" s="13" t="s">
        <v>78</v>
      </c>
      <c r="AF10" s="13" t="s">
        <v>141</v>
      </c>
      <c r="AG10" s="13" t="s">
        <v>80</v>
      </c>
      <c r="AH10" s="13" t="s">
        <v>81</v>
      </c>
      <c r="AI10" s="13" t="s">
        <v>93</v>
      </c>
      <c r="AJ10" s="19">
        <v>1672590</v>
      </c>
      <c r="AK10" s="18"/>
      <c r="AL10" s="18"/>
      <c r="AM10" s="13" t="s">
        <v>142</v>
      </c>
      <c r="AN10" s="13" t="s">
        <v>84</v>
      </c>
      <c r="AO10" s="13" t="s">
        <v>137</v>
      </c>
      <c r="AP10" s="13" t="s">
        <v>137</v>
      </c>
      <c r="AQ10" s="21" t="s">
        <v>64</v>
      </c>
      <c r="AR10" s="25"/>
      <c r="AS10" s="25"/>
      <c r="AT10" s="25"/>
      <c r="AU10" s="25"/>
      <c r="AV10" s="25"/>
      <c r="AW10" s="25"/>
      <c r="AX10" s="24"/>
    </row>
    <row r="11" spans="1:50" ht="16.5" customHeight="1">
      <c r="A11" s="36" t="s">
        <v>143</v>
      </c>
      <c r="B11" s="28" t="s">
        <v>68</v>
      </c>
      <c r="C11" s="28" t="s">
        <v>86</v>
      </c>
      <c r="D11" s="28"/>
      <c r="E11" s="28" t="s">
        <v>70</v>
      </c>
      <c r="F11" s="28">
        <v>262</v>
      </c>
      <c r="G11" s="28">
        <v>3</v>
      </c>
      <c r="H11" s="28" t="str">
        <f>IF(ISNUMBER(Table810[[#This Row],[Total Capacity]]),"USBR Enterprise Asset Registry",IF(Table810[[#This Row],[Total Capacity]]="",""))</f>
        <v>USBR Enterprise Asset Registry</v>
      </c>
      <c r="I11" s="28" t="s">
        <v>57</v>
      </c>
      <c r="J11" s="28" t="s">
        <v>72</v>
      </c>
      <c r="K11" s="28"/>
      <c r="L11" s="50">
        <v>17228</v>
      </c>
      <c r="M11" s="48"/>
      <c r="N11" s="50">
        <v>17228</v>
      </c>
      <c r="O11" s="28"/>
      <c r="P11" s="37"/>
      <c r="Q11" s="28">
        <f>IF(OR(Table810[[#This Row],[Post-Review Decision]]="Include", Table810[[#This Row],[Post-Review Decision]]="Include if possible", Table810[[#This Row],[Post-Review Decision]]="Include (Omit % Avg if needed)",  Table810[[#This Row],[Post-Review Decision]]="Include (Omit % Avg)"),Table810[[#This Row],[EAR Total Capacity]],"")</f>
        <v>17228</v>
      </c>
      <c r="R11" s="28">
        <v>17162</v>
      </c>
      <c r="S11" s="46">
        <v>17162</v>
      </c>
      <c r="T11" s="28" t="s">
        <v>143</v>
      </c>
      <c r="U11" s="28" t="s">
        <v>144</v>
      </c>
      <c r="V11" s="13" t="s">
        <v>145</v>
      </c>
      <c r="W11" s="12" t="b">
        <f>ISNUMBER(Table810[[#This Row],[EAR Total Capacity]])</f>
        <v>1</v>
      </c>
      <c r="X11" s="12" t="b">
        <f>IF(Table810[[#This Row],[Has  Storage for Full Averaging Period?]]="OK",TRUE,FALSE)</f>
        <v>1</v>
      </c>
      <c r="Y11" s="12" t="b">
        <f>IFERROR(IF(YEAR(Table810[[#This Row],[RISE Storage End Date]])=2025,TRUE,FALSE),FALSE)</f>
        <v>1</v>
      </c>
      <c r="Z11" s="11" t="b">
        <v>0</v>
      </c>
      <c r="AA11" s="13">
        <v>6</v>
      </c>
      <c r="AB11" s="13" t="s">
        <v>76</v>
      </c>
      <c r="AC11" s="13" t="s">
        <v>146</v>
      </c>
      <c r="AD11" s="13" t="s">
        <v>143</v>
      </c>
      <c r="AE11" s="13" t="s">
        <v>78</v>
      </c>
      <c r="AF11" s="13" t="s">
        <v>147</v>
      </c>
      <c r="AG11" s="13" t="s">
        <v>91</v>
      </c>
      <c r="AH11" s="13" t="s">
        <v>92</v>
      </c>
      <c r="AI11" s="13" t="s">
        <v>93</v>
      </c>
      <c r="AJ11" s="14">
        <v>17228</v>
      </c>
      <c r="AK11" s="18"/>
      <c r="AL11" s="18"/>
      <c r="AM11" s="13" t="s">
        <v>148</v>
      </c>
      <c r="AN11" s="13" t="s">
        <v>95</v>
      </c>
      <c r="AO11" s="13" t="s">
        <v>143</v>
      </c>
      <c r="AP11" s="13" t="s">
        <v>143</v>
      </c>
      <c r="AQ11" s="21" t="s">
        <v>64</v>
      </c>
      <c r="AR11" s="26">
        <v>22555</v>
      </c>
      <c r="AS11" s="26">
        <v>46007</v>
      </c>
      <c r="AT11" s="25">
        <v>23273</v>
      </c>
      <c r="AU11" s="25" t="s">
        <v>65</v>
      </c>
      <c r="AV11" s="25" t="s">
        <v>65</v>
      </c>
      <c r="AW11" s="25" t="s">
        <v>65</v>
      </c>
      <c r="AX11" s="24"/>
    </row>
    <row r="12" spans="1:50" ht="16.5" customHeight="1">
      <c r="A12" s="36" t="s">
        <v>149</v>
      </c>
      <c r="B12" s="28" t="s">
        <v>68</v>
      </c>
      <c r="C12" s="28" t="s">
        <v>69</v>
      </c>
      <c r="D12" s="28"/>
      <c r="E12" s="28" t="s">
        <v>70</v>
      </c>
      <c r="F12" s="28">
        <v>3641</v>
      </c>
      <c r="G12" s="28">
        <v>3</v>
      </c>
      <c r="H12" s="28" t="str">
        <f>IF(ISNUMBER(Table810[[#This Row],[Total Capacity]]),"USBR Enterprise Asset Registry",IF(Table810[[#This Row],[Total Capacity]]="",""))</f>
        <v>USBR Enterprise Asset Registry</v>
      </c>
      <c r="I12" s="28" t="s">
        <v>71</v>
      </c>
      <c r="J12" s="28" t="s">
        <v>72</v>
      </c>
      <c r="K12" s="28"/>
      <c r="L12" s="50">
        <v>413074</v>
      </c>
      <c r="M12" s="48"/>
      <c r="N12" s="50">
        <v>413074</v>
      </c>
      <c r="O12" s="28"/>
      <c r="P12" s="37"/>
      <c r="Q12" s="28">
        <f>IF(OR(Table810[[#This Row],[Post-Review Decision]]="Include", Table810[[#This Row],[Post-Review Decision]]="Include if possible", Table810[[#This Row],[Post-Review Decision]]="Include (Omit % Avg if needed)",  Table810[[#This Row],[Post-Review Decision]]="Include (Omit % Avg)"),Table810[[#This Row],[EAR Total Capacity]],"")</f>
        <v>474942</v>
      </c>
      <c r="R12" s="28">
        <v>413074</v>
      </c>
      <c r="S12" s="46">
        <v>450030</v>
      </c>
      <c r="T12" s="28" t="s">
        <v>149</v>
      </c>
      <c r="U12" s="28" t="s">
        <v>150</v>
      </c>
      <c r="V12" s="13" t="s">
        <v>151</v>
      </c>
      <c r="W12" s="12" t="b">
        <f>ISNUMBER(Table810[[#This Row],[EAR Total Capacity]])</f>
        <v>1</v>
      </c>
      <c r="X12" s="12" t="s">
        <v>75</v>
      </c>
      <c r="Y12" s="12" t="b">
        <f>IFERROR(IF(YEAR(Table810[[#This Row],[RISE Storage End Date]])=2025,TRUE,FALSE),FALSE)</f>
        <v>0</v>
      </c>
      <c r="Z12" s="11" t="b">
        <v>0</v>
      </c>
      <c r="AA12" s="13">
        <v>8</v>
      </c>
      <c r="AB12" s="13" t="s">
        <v>76</v>
      </c>
      <c r="AC12" s="13" t="s">
        <v>152</v>
      </c>
      <c r="AD12" s="13" t="s">
        <v>149</v>
      </c>
      <c r="AE12" s="13" t="s">
        <v>78</v>
      </c>
      <c r="AF12" s="13" t="s">
        <v>153</v>
      </c>
      <c r="AG12" s="13" t="s">
        <v>80</v>
      </c>
      <c r="AH12" s="13" t="s">
        <v>81</v>
      </c>
      <c r="AI12" s="13" t="s">
        <v>93</v>
      </c>
      <c r="AJ12" s="19">
        <v>474942</v>
      </c>
      <c r="AK12" s="18"/>
      <c r="AL12" s="18"/>
      <c r="AM12" s="13" t="s">
        <v>154</v>
      </c>
      <c r="AN12" s="13" t="s">
        <v>84</v>
      </c>
      <c r="AO12" s="13" t="s">
        <v>149</v>
      </c>
      <c r="AP12" s="13" t="s">
        <v>149</v>
      </c>
      <c r="AQ12" s="21" t="s">
        <v>64</v>
      </c>
      <c r="AR12" s="25"/>
      <c r="AS12" s="25"/>
      <c r="AT12" s="25"/>
      <c r="AU12" s="25"/>
      <c r="AV12" s="25"/>
      <c r="AW12" s="25"/>
      <c r="AX12" s="24"/>
    </row>
    <row r="13" spans="1:50" ht="16.5" customHeight="1">
      <c r="A13" s="36" t="s">
        <v>155</v>
      </c>
      <c r="B13" s="28"/>
      <c r="C13" s="28" t="s">
        <v>97</v>
      </c>
      <c r="D13" s="28"/>
      <c r="E13" s="28"/>
      <c r="F13" s="28" t="s">
        <v>61</v>
      </c>
      <c r="G13" s="28"/>
      <c r="H13" s="28" t="str">
        <f>IF(ISNUMBER(Table810[[#This Row],[Total Capacity]]),"USBR Enterprise Asset Registry",IF(Table810[[#This Row],[Total Capacity]]="",""))</f>
        <v/>
      </c>
      <c r="I13" s="28"/>
      <c r="J13" s="28"/>
      <c r="K13" s="28"/>
      <c r="L13" s="50" t="s">
        <v>98</v>
      </c>
      <c r="M13" s="48"/>
      <c r="N13" s="50" t="s">
        <v>98</v>
      </c>
      <c r="O13" s="28"/>
      <c r="P13" s="37"/>
      <c r="Q13" s="28" t="str">
        <f>IF(OR(Table810[[#This Row],[Post-Review Decision]]="Include", Table810[[#This Row],[Post-Review Decision]]="Include if possible", Table810[[#This Row],[Post-Review Decision]]="Include (Omit % Avg if needed)",  Table810[[#This Row],[Post-Review Decision]]="Include (Omit % Avg)"),Table810[[#This Row],[EAR Total Capacity]],"")</f>
        <v/>
      </c>
      <c r="R13" s="28"/>
      <c r="S13" s="45">
        <v>0</v>
      </c>
      <c r="T13" s="28"/>
      <c r="U13" s="28"/>
      <c r="V13" s="13" t="s">
        <v>156</v>
      </c>
      <c r="W13" s="12" t="b">
        <f>ISNUMBER(Table810[[#This Row],[EAR Total Capacity]])</f>
        <v>0</v>
      </c>
      <c r="X13" s="12" t="b">
        <f>IF(Table810[[#This Row],[Has  Storage for Full Averaging Period?]]="OK",TRUE,FALSE)</f>
        <v>0</v>
      </c>
      <c r="Y13" s="12" t="b">
        <f>IFERROR(IF(YEAR(Table810[[#This Row],[RISE Storage End Date]])=2025,TRUE,FALSE),FALSE)</f>
        <v>0</v>
      </c>
      <c r="Z13" s="11" t="b">
        <v>0</v>
      </c>
      <c r="AA13" s="13">
        <v>7</v>
      </c>
      <c r="AB13" s="13" t="s">
        <v>76</v>
      </c>
      <c r="AC13" s="13" t="s">
        <v>157</v>
      </c>
      <c r="AD13" s="13" t="s">
        <v>155</v>
      </c>
      <c r="AE13" s="13" t="s">
        <v>78</v>
      </c>
      <c r="AF13" s="13" t="s">
        <v>158</v>
      </c>
      <c r="AG13" s="13" t="s">
        <v>159</v>
      </c>
      <c r="AH13" s="13" t="s">
        <v>160</v>
      </c>
      <c r="AI13" s="13" t="s">
        <v>103</v>
      </c>
      <c r="AJ13" s="14"/>
      <c r="AK13" s="15"/>
      <c r="AL13" s="15"/>
      <c r="AM13" s="15" t="s">
        <v>61</v>
      </c>
      <c r="AN13" s="15" t="s">
        <v>61</v>
      </c>
      <c r="AO13" s="15" t="s">
        <v>61</v>
      </c>
      <c r="AP13" s="15" t="s">
        <v>61</v>
      </c>
      <c r="AQ13" s="21" t="s">
        <v>136</v>
      </c>
      <c r="AR13" s="25"/>
      <c r="AS13" s="25"/>
      <c r="AT13" s="25"/>
      <c r="AU13" s="25"/>
      <c r="AV13" s="25"/>
      <c r="AW13" s="25"/>
      <c r="AX13" s="24"/>
    </row>
    <row r="14" spans="1:50" ht="16.5" customHeight="1">
      <c r="A14" s="36" t="s">
        <v>161</v>
      </c>
      <c r="B14" s="28" t="s">
        <v>68</v>
      </c>
      <c r="C14" s="28" t="s">
        <v>86</v>
      </c>
      <c r="D14" s="28"/>
      <c r="E14" s="28" t="s">
        <v>70</v>
      </c>
      <c r="F14" s="28">
        <v>257</v>
      </c>
      <c r="G14" s="28">
        <v>3</v>
      </c>
      <c r="H14" s="28" t="str">
        <f>IF(ISNUMBER(Table810[[#This Row],[Total Capacity]]),"USBR Enterprise Asset Registry",IF(Table810[[#This Row],[Total Capacity]]="",""))</f>
        <v>USBR Enterprise Asset Registry</v>
      </c>
      <c r="I14" s="28" t="s">
        <v>57</v>
      </c>
      <c r="J14" s="28" t="s">
        <v>72</v>
      </c>
      <c r="K14" s="28"/>
      <c r="L14" s="50">
        <v>123048</v>
      </c>
      <c r="M14" s="48"/>
      <c r="N14" s="50">
        <v>123048</v>
      </c>
      <c r="O14" s="28"/>
      <c r="P14" s="37"/>
      <c r="Q14" s="28">
        <f>IF(OR(Table810[[#This Row],[Post-Review Decision]]="Include", Table810[[#This Row],[Post-Review Decision]]="Include if possible", Table810[[#This Row],[Post-Review Decision]]="Include (Omit % Avg if needed)",  Table810[[#This Row],[Post-Review Decision]]="Include (Omit % Avg)"),Table810[[#This Row],[EAR Total Capacity]],"")</f>
        <v>123048</v>
      </c>
      <c r="R14" s="28">
        <v>80843</v>
      </c>
      <c r="S14" s="46">
        <v>117390</v>
      </c>
      <c r="T14" s="28" t="s">
        <v>161</v>
      </c>
      <c r="U14" s="28" t="s">
        <v>162</v>
      </c>
      <c r="V14" s="13" t="s">
        <v>163</v>
      </c>
      <c r="W14" s="12" t="b">
        <f>ISNUMBER(Table810[[#This Row],[EAR Total Capacity]])</f>
        <v>1</v>
      </c>
      <c r="X14" s="12" t="b">
        <f>IF(Table810[[#This Row],[Has  Storage for Full Averaging Period?]]="OK",TRUE,FALSE)</f>
        <v>1</v>
      </c>
      <c r="Y14" s="12" t="b">
        <f>IFERROR(IF(YEAR(Table810[[#This Row],[RISE Storage End Date]])=2025,TRUE,FALSE),FALSE)</f>
        <v>1</v>
      </c>
      <c r="Z14" s="11" t="b">
        <v>0</v>
      </c>
      <c r="AA14" s="13">
        <v>10</v>
      </c>
      <c r="AB14" s="13" t="s">
        <v>76</v>
      </c>
      <c r="AC14" s="13" t="s">
        <v>164</v>
      </c>
      <c r="AD14" s="13" t="s">
        <v>161</v>
      </c>
      <c r="AE14" s="13" t="s">
        <v>78</v>
      </c>
      <c r="AF14" s="13" t="s">
        <v>165</v>
      </c>
      <c r="AG14" s="13" t="s">
        <v>109</v>
      </c>
      <c r="AH14" s="13" t="s">
        <v>92</v>
      </c>
      <c r="AI14" s="13" t="s">
        <v>93</v>
      </c>
      <c r="AJ14" s="14">
        <v>123048</v>
      </c>
      <c r="AK14" s="18"/>
      <c r="AL14" s="18"/>
      <c r="AM14" s="13" t="s">
        <v>166</v>
      </c>
      <c r="AN14" s="13" t="s">
        <v>95</v>
      </c>
      <c r="AO14" s="13" t="s">
        <v>161</v>
      </c>
      <c r="AP14" s="13" t="s">
        <v>161</v>
      </c>
      <c r="AQ14" s="21" t="s">
        <v>64</v>
      </c>
      <c r="AR14" s="26">
        <v>18902</v>
      </c>
      <c r="AS14" s="26">
        <v>46007</v>
      </c>
      <c r="AT14" s="25">
        <v>27107</v>
      </c>
      <c r="AU14" s="25" t="s">
        <v>65</v>
      </c>
      <c r="AV14" s="25" t="s">
        <v>65</v>
      </c>
      <c r="AW14" s="25" t="s">
        <v>65</v>
      </c>
      <c r="AX14" s="24"/>
    </row>
    <row r="15" spans="1:50" ht="16.5" customHeight="1">
      <c r="A15" s="36" t="s">
        <v>167</v>
      </c>
      <c r="B15" s="28"/>
      <c r="C15" s="28" t="s">
        <v>97</v>
      </c>
      <c r="D15" s="28"/>
      <c r="E15" s="28"/>
      <c r="F15" s="28" t="s">
        <v>61</v>
      </c>
      <c r="G15" s="28"/>
      <c r="H15" s="28" t="str">
        <f>IF(ISNUMBER(Table810[[#This Row],[Total Capacity]]),"USBR Enterprise Asset Registry",IF(Table810[[#This Row],[Total Capacity]]="",""))</f>
        <v/>
      </c>
      <c r="I15" s="28"/>
      <c r="J15" s="28"/>
      <c r="K15" s="28"/>
      <c r="L15" s="50" t="s">
        <v>98</v>
      </c>
      <c r="M15" s="48"/>
      <c r="N15" s="50" t="s">
        <v>98</v>
      </c>
      <c r="O15" s="28"/>
      <c r="P15" s="37"/>
      <c r="Q15" s="28" t="str">
        <f>IF(OR(Table810[[#This Row],[Post-Review Decision]]="Include", Table810[[#This Row],[Post-Review Decision]]="Include if possible", Table810[[#This Row],[Post-Review Decision]]="Include (Omit % Avg if needed)",  Table810[[#This Row],[Post-Review Decision]]="Include (Omit % Avg)"),Table810[[#This Row],[EAR Total Capacity]],"")</f>
        <v/>
      </c>
      <c r="R15" s="28"/>
      <c r="S15" s="45">
        <v>0</v>
      </c>
      <c r="T15" s="28"/>
      <c r="U15" s="28"/>
      <c r="V15" s="13" t="s">
        <v>168</v>
      </c>
      <c r="W15" s="12" t="b">
        <f>ISNUMBER(Table810[[#This Row],[EAR Total Capacity]])</f>
        <v>0</v>
      </c>
      <c r="X15" s="12" t="b">
        <f>IF(Table810[[#This Row],[Has  Storage for Full Averaging Period?]]="OK",TRUE,FALSE)</f>
        <v>0</v>
      </c>
      <c r="Y15" s="12" t="b">
        <f>IFERROR(IF(YEAR(Table810[[#This Row],[RISE Storage End Date]])=2025,TRUE,FALSE),FALSE)</f>
        <v>0</v>
      </c>
      <c r="Z15" s="11" t="b">
        <v>0</v>
      </c>
      <c r="AA15" s="13">
        <v>9</v>
      </c>
      <c r="AB15" s="13" t="s">
        <v>76</v>
      </c>
      <c r="AC15" s="13" t="s">
        <v>169</v>
      </c>
      <c r="AD15" s="13" t="s">
        <v>167</v>
      </c>
      <c r="AE15" s="13" t="s">
        <v>101</v>
      </c>
      <c r="AF15" s="13" t="s">
        <v>170</v>
      </c>
      <c r="AG15" s="13" t="s">
        <v>91</v>
      </c>
      <c r="AH15" s="13" t="s">
        <v>102</v>
      </c>
      <c r="AI15" s="13" t="s">
        <v>103</v>
      </c>
      <c r="AJ15" s="14"/>
      <c r="AK15" s="15"/>
      <c r="AL15" s="15"/>
      <c r="AM15" s="15" t="s">
        <v>61</v>
      </c>
      <c r="AN15" s="15" t="s">
        <v>61</v>
      </c>
      <c r="AO15" s="15" t="s">
        <v>61</v>
      </c>
      <c r="AP15" s="15" t="s">
        <v>61</v>
      </c>
      <c r="AQ15" s="22"/>
      <c r="AR15" s="25"/>
      <c r="AS15" s="25"/>
      <c r="AT15" s="25"/>
      <c r="AU15" s="25"/>
      <c r="AV15" s="25"/>
      <c r="AW15" s="25"/>
      <c r="AX15" s="24"/>
    </row>
    <row r="16" spans="1:50" ht="16.5" customHeight="1">
      <c r="A16" s="36" t="s">
        <v>171</v>
      </c>
      <c r="B16" s="28"/>
      <c r="C16" s="28" t="s">
        <v>97</v>
      </c>
      <c r="D16" s="28"/>
      <c r="E16" s="28"/>
      <c r="F16" s="28" t="s">
        <v>61</v>
      </c>
      <c r="G16" s="28"/>
      <c r="H16" s="28" t="str">
        <f>IF(ISNUMBER(Table810[[#This Row],[Total Capacity]]),"USBR Enterprise Asset Registry",IF(Table810[[#This Row],[Total Capacity]]="",""))</f>
        <v/>
      </c>
      <c r="I16" s="28"/>
      <c r="J16" s="28"/>
      <c r="K16" s="28"/>
      <c r="L16" s="50" t="s">
        <v>98</v>
      </c>
      <c r="M16" s="48"/>
      <c r="N16" s="50" t="s">
        <v>98</v>
      </c>
      <c r="O16" s="28"/>
      <c r="P16" s="37"/>
      <c r="Q16" s="28" t="str">
        <f>IF(OR(Table810[[#This Row],[Post-Review Decision]]="Include", Table810[[#This Row],[Post-Review Decision]]="Include if possible", Table810[[#This Row],[Post-Review Decision]]="Include (Omit % Avg if needed)",  Table810[[#This Row],[Post-Review Decision]]="Include (Omit % Avg)"),Table810[[#This Row],[EAR Total Capacity]],"")</f>
        <v/>
      </c>
      <c r="R16" s="28">
        <v>317</v>
      </c>
      <c r="S16" s="45">
        <v>0</v>
      </c>
      <c r="T16" s="28"/>
      <c r="U16" s="28"/>
      <c r="V16" s="13" t="s">
        <v>172</v>
      </c>
      <c r="W16" s="12" t="b">
        <f>ISNUMBER(Table810[[#This Row],[EAR Total Capacity]])</f>
        <v>1</v>
      </c>
      <c r="X16" s="12" t="b">
        <f>IF(Table810[[#This Row],[Has  Storage for Full Averaging Period?]]="OK",TRUE,FALSE)</f>
        <v>0</v>
      </c>
      <c r="Y16" s="12" t="b">
        <f>IFERROR(IF(YEAR(Table810[[#This Row],[RISE Storage End Date]])=2025,TRUE,FALSE),FALSE)</f>
        <v>0</v>
      </c>
      <c r="Z16" s="11" t="b">
        <v>0</v>
      </c>
      <c r="AA16" s="13">
        <v>11</v>
      </c>
      <c r="AB16" s="13" t="s">
        <v>76</v>
      </c>
      <c r="AC16" s="13" t="s">
        <v>173</v>
      </c>
      <c r="AD16" s="13" t="s">
        <v>171</v>
      </c>
      <c r="AE16" s="13" t="s">
        <v>78</v>
      </c>
      <c r="AF16" s="13" t="s">
        <v>174</v>
      </c>
      <c r="AG16" s="13" t="s">
        <v>109</v>
      </c>
      <c r="AH16" s="13" t="s">
        <v>92</v>
      </c>
      <c r="AI16" s="13" t="s">
        <v>82</v>
      </c>
      <c r="AJ16" s="14">
        <v>317</v>
      </c>
      <c r="AK16" s="15"/>
      <c r="AL16" s="15"/>
      <c r="AM16" s="15" t="s">
        <v>61</v>
      </c>
      <c r="AN16" s="15" t="s">
        <v>61</v>
      </c>
      <c r="AO16" s="15" t="s">
        <v>61</v>
      </c>
      <c r="AP16" s="15" t="s">
        <v>61</v>
      </c>
      <c r="AQ16" s="21" t="s">
        <v>136</v>
      </c>
      <c r="AR16" s="25"/>
      <c r="AS16" s="25"/>
      <c r="AT16" s="25"/>
      <c r="AU16" s="25"/>
      <c r="AV16" s="25"/>
      <c r="AW16" s="25"/>
      <c r="AX16" s="24"/>
    </row>
    <row r="17" spans="1:50" ht="16.5" customHeight="1">
      <c r="A17" s="36" t="s">
        <v>175</v>
      </c>
      <c r="B17" s="28"/>
      <c r="C17" s="28" t="s">
        <v>97</v>
      </c>
      <c r="D17" s="28"/>
      <c r="E17" s="28"/>
      <c r="F17" s="28" t="s">
        <v>61</v>
      </c>
      <c r="G17" s="28"/>
      <c r="H17" s="28" t="str">
        <f>IF(ISNUMBER(Table810[[#This Row],[Total Capacity]]),"USBR Enterprise Asset Registry",IF(Table810[[#This Row],[Total Capacity]]="",""))</f>
        <v/>
      </c>
      <c r="I17" s="28"/>
      <c r="J17" s="28"/>
      <c r="K17" s="28"/>
      <c r="L17" s="50" t="s">
        <v>98</v>
      </c>
      <c r="M17" s="48"/>
      <c r="N17" s="50" t="s">
        <v>98</v>
      </c>
      <c r="O17" s="28"/>
      <c r="P17" s="37"/>
      <c r="Q17" s="28" t="str">
        <f>IF(OR(Table810[[#This Row],[Post-Review Decision]]="Include", Table810[[#This Row],[Post-Review Decision]]="Include if possible", Table810[[#This Row],[Post-Review Decision]]="Include (Omit % Avg if needed)",  Table810[[#This Row],[Post-Review Decision]]="Include (Omit % Avg)"),Table810[[#This Row],[EAR Total Capacity]],"")</f>
        <v/>
      </c>
      <c r="R17" s="28"/>
      <c r="S17" s="45">
        <v>245048</v>
      </c>
      <c r="T17" s="28"/>
      <c r="U17" s="28"/>
      <c r="V17" s="13" t="s">
        <v>176</v>
      </c>
      <c r="W17" s="12" t="b">
        <f>ISNUMBER(Table810[[#This Row],[EAR Total Capacity]])</f>
        <v>1</v>
      </c>
      <c r="X17" s="12" t="b">
        <f>IF(Table810[[#This Row],[Has  Storage for Full Averaging Period?]]="OK",TRUE,FALSE)</f>
        <v>0</v>
      </c>
      <c r="Y17" s="12" t="b">
        <f>IFERROR(IF(YEAR(Table810[[#This Row],[RISE Storage End Date]])=2025,TRUE,FALSE),FALSE)</f>
        <v>0</v>
      </c>
      <c r="Z17" s="11" t="b">
        <v>0</v>
      </c>
      <c r="AA17" s="13">
        <v>12</v>
      </c>
      <c r="AB17" s="13" t="s">
        <v>76</v>
      </c>
      <c r="AC17" s="13" t="s">
        <v>177</v>
      </c>
      <c r="AD17" s="13" t="s">
        <v>175</v>
      </c>
      <c r="AE17" s="13" t="s">
        <v>78</v>
      </c>
      <c r="AF17" s="13" t="s">
        <v>178</v>
      </c>
      <c r="AG17" s="13" t="s">
        <v>179</v>
      </c>
      <c r="AH17" s="13" t="s">
        <v>180</v>
      </c>
      <c r="AI17" s="13" t="s">
        <v>93</v>
      </c>
      <c r="AJ17" s="14">
        <v>245048</v>
      </c>
      <c r="AK17" s="15"/>
      <c r="AL17" s="15"/>
      <c r="AM17" s="15" t="s">
        <v>61</v>
      </c>
      <c r="AN17" s="15" t="s">
        <v>61</v>
      </c>
      <c r="AO17" s="15" t="s">
        <v>61</v>
      </c>
      <c r="AP17" s="15" t="s">
        <v>61</v>
      </c>
      <c r="AQ17" s="21" t="s">
        <v>136</v>
      </c>
      <c r="AR17" s="25"/>
      <c r="AS17" s="25"/>
      <c r="AT17" s="25"/>
      <c r="AU17" s="25"/>
      <c r="AV17" s="25"/>
      <c r="AW17" s="25"/>
      <c r="AX17" s="24"/>
    </row>
    <row r="18" spans="1:50" ht="16.5" customHeight="1">
      <c r="A18" s="36" t="s">
        <v>181</v>
      </c>
      <c r="B18" s="28"/>
      <c r="C18" s="28" t="s">
        <v>97</v>
      </c>
      <c r="D18" s="28"/>
      <c r="E18" s="28"/>
      <c r="F18" s="28">
        <v>3691</v>
      </c>
      <c r="G18" s="28"/>
      <c r="H18" s="28" t="str">
        <f>IF(ISNUMBER(Table810[[#This Row],[Total Capacity]]),"USBR Enterprise Asset Registry",IF(Table810[[#This Row],[Total Capacity]]="",""))</f>
        <v/>
      </c>
      <c r="I18" s="28"/>
      <c r="J18" s="28"/>
      <c r="K18" s="28"/>
      <c r="L18" s="50" t="s">
        <v>98</v>
      </c>
      <c r="M18" s="48"/>
      <c r="N18" s="50" t="s">
        <v>98</v>
      </c>
      <c r="O18" s="28"/>
      <c r="P18" s="37"/>
      <c r="Q18" s="28" t="str">
        <f>IF(OR(Table810[[#This Row],[Post-Review Decision]]="Include", Table810[[#This Row],[Post-Review Decision]]="Include if possible", Table810[[#This Row],[Post-Review Decision]]="Include (Omit % Avg if needed)",  Table810[[#This Row],[Post-Review Decision]]="Include (Omit % Avg)"),Table810[[#This Row],[EAR Total Capacity]],"")</f>
        <v/>
      </c>
      <c r="R18" s="28"/>
      <c r="S18" s="45" t="s">
        <v>59</v>
      </c>
      <c r="T18" s="28"/>
      <c r="U18" s="28"/>
      <c r="V18" s="17" t="s">
        <v>61</v>
      </c>
      <c r="W18" s="12" t="b">
        <f>ISNUMBER(Table810[[#This Row],[EAR Total Capacity]])</f>
        <v>0</v>
      </c>
      <c r="X18" s="12" t="b">
        <f>IF(Table810[[#This Row],[Has  Storage for Full Averaging Period?]]="OK",TRUE,FALSE)</f>
        <v>0</v>
      </c>
      <c r="Y18" s="12" t="b">
        <f>IFERROR(IF(YEAR(Table810[[#This Row],[RISE Storage End Date]])=2025,TRUE,FALSE),FALSE)</f>
        <v>0</v>
      </c>
      <c r="Z18" s="11" t="b">
        <v>0</v>
      </c>
      <c r="AA18" s="16" t="s">
        <v>61</v>
      </c>
      <c r="AB18" s="17" t="s">
        <v>61</v>
      </c>
      <c r="AC18" s="17" t="s">
        <v>61</v>
      </c>
      <c r="AD18" s="17" t="s">
        <v>61</v>
      </c>
      <c r="AE18" s="17" t="s">
        <v>61</v>
      </c>
      <c r="AF18" s="17" t="s">
        <v>61</v>
      </c>
      <c r="AG18" s="17" t="s">
        <v>61</v>
      </c>
      <c r="AH18" s="17" t="s">
        <v>61</v>
      </c>
      <c r="AI18" s="17" t="s">
        <v>61</v>
      </c>
      <c r="AJ18" s="17" t="s">
        <v>61</v>
      </c>
      <c r="AK18" s="18"/>
      <c r="AL18" s="18"/>
      <c r="AM18" s="13" t="s">
        <v>182</v>
      </c>
      <c r="AN18" s="11" t="s">
        <v>183</v>
      </c>
      <c r="AO18" s="11" t="s">
        <v>181</v>
      </c>
      <c r="AP18" s="11" t="s">
        <v>181</v>
      </c>
      <c r="AQ18" s="21" t="s">
        <v>136</v>
      </c>
      <c r="AR18" s="25"/>
      <c r="AS18" s="25"/>
      <c r="AT18" s="25"/>
      <c r="AU18" s="25"/>
      <c r="AV18" s="25"/>
      <c r="AW18" s="25"/>
      <c r="AX18" s="23"/>
    </row>
    <row r="19" spans="1:50" ht="16.5" customHeight="1">
      <c r="A19" s="36" t="s">
        <v>184</v>
      </c>
      <c r="B19" s="28" t="s">
        <v>68</v>
      </c>
      <c r="C19" s="28" t="s">
        <v>69</v>
      </c>
      <c r="D19" s="28"/>
      <c r="E19" s="28" t="s">
        <v>70</v>
      </c>
      <c r="F19" s="28">
        <v>3642</v>
      </c>
      <c r="G19" s="28">
        <v>3</v>
      </c>
      <c r="H19" s="28" t="str">
        <f>IF(ISNUMBER(Table810[[#This Row],[Total Capacity]]),"USBR Enterprise Asset Registry",IF(Table810[[#This Row],[Total Capacity]]="",""))</f>
        <v>USBR Enterprise Asset Registry</v>
      </c>
      <c r="I19" s="28" t="s">
        <v>71</v>
      </c>
      <c r="J19" s="28" t="s">
        <v>72</v>
      </c>
      <c r="K19" s="28"/>
      <c r="L19" s="50">
        <v>271710</v>
      </c>
      <c r="M19" s="48"/>
      <c r="N19" s="50">
        <v>271710</v>
      </c>
      <c r="O19" s="28"/>
      <c r="P19" s="37"/>
      <c r="Q19" s="28">
        <f>IF(OR(Table810[[#This Row],[Post-Review Decision]]="Include", Table810[[#This Row],[Post-Review Decision]]="Include if possible", Table810[[#This Row],[Post-Review Decision]]="Include (Omit % Avg if needed)",  Table810[[#This Row],[Post-Review Decision]]="Include (Omit % Avg)"),Table810[[#This Row],[EAR Total Capacity]],"")</f>
        <v>272224</v>
      </c>
      <c r="R19" s="28">
        <v>271710</v>
      </c>
      <c r="S19" s="46">
        <v>271710</v>
      </c>
      <c r="T19" s="28" t="s">
        <v>184</v>
      </c>
      <c r="U19" s="28" t="s">
        <v>185</v>
      </c>
      <c r="V19" s="13" t="s">
        <v>151</v>
      </c>
      <c r="W19" s="12" t="b">
        <f>ISNUMBER(Table810[[#This Row],[EAR Total Capacity]])</f>
        <v>1</v>
      </c>
      <c r="X19" s="12" t="s">
        <v>75</v>
      </c>
      <c r="Y19" s="12" t="b">
        <f>IFERROR(IF(YEAR(Table810[[#This Row],[RISE Storage End Date]])=2025,TRUE,FALSE),FALSE)</f>
        <v>0</v>
      </c>
      <c r="Z19" s="11" t="b">
        <v>0</v>
      </c>
      <c r="AA19" s="13">
        <v>13</v>
      </c>
      <c r="AB19" s="13" t="s">
        <v>76</v>
      </c>
      <c r="AC19" s="13" t="s">
        <v>186</v>
      </c>
      <c r="AD19" s="13" t="s">
        <v>184</v>
      </c>
      <c r="AE19" s="13" t="s">
        <v>78</v>
      </c>
      <c r="AF19" s="13" t="s">
        <v>187</v>
      </c>
      <c r="AG19" s="13" t="s">
        <v>80</v>
      </c>
      <c r="AH19" s="13" t="s">
        <v>81</v>
      </c>
      <c r="AI19" s="13" t="s">
        <v>93</v>
      </c>
      <c r="AJ19" s="19">
        <v>272224</v>
      </c>
      <c r="AK19" s="18"/>
      <c r="AL19" s="18"/>
      <c r="AM19" s="13" t="s">
        <v>188</v>
      </c>
      <c r="AN19" s="13" t="s">
        <v>84</v>
      </c>
      <c r="AO19" s="13" t="s">
        <v>184</v>
      </c>
      <c r="AP19" s="13" t="s">
        <v>184</v>
      </c>
      <c r="AQ19" s="21" t="s">
        <v>64</v>
      </c>
      <c r="AR19" s="25"/>
      <c r="AS19" s="25"/>
      <c r="AT19" s="25"/>
      <c r="AU19" s="25"/>
      <c r="AV19" s="25"/>
      <c r="AW19" s="25"/>
      <c r="AX19" s="24"/>
    </row>
    <row r="20" spans="1:50" ht="16.5" customHeight="1">
      <c r="A20" s="36" t="s">
        <v>189</v>
      </c>
      <c r="B20" s="28"/>
      <c r="C20" s="28" t="s">
        <v>97</v>
      </c>
      <c r="D20" s="28"/>
      <c r="E20" s="28"/>
      <c r="F20" s="28" t="s">
        <v>61</v>
      </c>
      <c r="G20" s="28"/>
      <c r="H20" s="28" t="str">
        <f>IF(ISNUMBER(Table810[[#This Row],[Total Capacity]]),"USBR Enterprise Asset Registry",IF(Table810[[#This Row],[Total Capacity]]="",""))</f>
        <v/>
      </c>
      <c r="I20" s="28"/>
      <c r="J20" s="28"/>
      <c r="K20" s="28"/>
      <c r="L20" s="50" t="s">
        <v>98</v>
      </c>
      <c r="M20" s="48"/>
      <c r="N20" s="50" t="s">
        <v>98</v>
      </c>
      <c r="O20" s="28"/>
      <c r="P20" s="37"/>
      <c r="Q20" s="28" t="str">
        <f>IF(OR(Table810[[#This Row],[Post-Review Decision]]="Include", Table810[[#This Row],[Post-Review Decision]]="Include if possible", Table810[[#This Row],[Post-Review Decision]]="Include (Omit % Avg if needed)",  Table810[[#This Row],[Post-Review Decision]]="Include (Omit % Avg)"),Table810[[#This Row],[EAR Total Capacity]],"")</f>
        <v/>
      </c>
      <c r="R20" s="28"/>
      <c r="S20" s="45">
        <v>0</v>
      </c>
      <c r="T20" s="28"/>
      <c r="U20" s="28"/>
      <c r="V20" s="13" t="s">
        <v>74</v>
      </c>
      <c r="W20" s="12" t="b">
        <f>ISNUMBER(Table810[[#This Row],[EAR Total Capacity]])</f>
        <v>0</v>
      </c>
      <c r="X20" s="12" t="b">
        <f>IF(Table810[[#This Row],[Has  Storage for Full Averaging Period?]]="OK",TRUE,FALSE)</f>
        <v>0</v>
      </c>
      <c r="Y20" s="12" t="b">
        <f>IFERROR(IF(YEAR(Table810[[#This Row],[RISE Storage End Date]])=2025,TRUE,FALSE),FALSE)</f>
        <v>0</v>
      </c>
      <c r="Z20" s="11" t="b">
        <v>0</v>
      </c>
      <c r="AA20" s="13">
        <v>14</v>
      </c>
      <c r="AB20" s="13" t="s">
        <v>76</v>
      </c>
      <c r="AC20" s="13" t="s">
        <v>190</v>
      </c>
      <c r="AD20" s="13" t="s">
        <v>189</v>
      </c>
      <c r="AE20" s="13" t="s">
        <v>101</v>
      </c>
      <c r="AF20" s="13" t="s">
        <v>191</v>
      </c>
      <c r="AG20" s="13" t="s">
        <v>80</v>
      </c>
      <c r="AH20" s="13" t="s">
        <v>81</v>
      </c>
      <c r="AI20" s="13" t="s">
        <v>103</v>
      </c>
      <c r="AJ20" s="14"/>
      <c r="AK20" s="15"/>
      <c r="AL20" s="15"/>
      <c r="AM20" s="15" t="s">
        <v>61</v>
      </c>
      <c r="AN20" s="15" t="s">
        <v>61</v>
      </c>
      <c r="AO20" s="15" t="s">
        <v>61</v>
      </c>
      <c r="AP20" s="15" t="s">
        <v>61</v>
      </c>
      <c r="AQ20" s="22"/>
      <c r="AR20" s="25"/>
      <c r="AS20" s="25"/>
      <c r="AT20" s="25"/>
      <c r="AU20" s="25"/>
      <c r="AV20" s="25"/>
      <c r="AW20" s="25"/>
      <c r="AX20" s="24"/>
    </row>
    <row r="21" spans="1:50" ht="16.5" customHeight="1">
      <c r="A21" s="36" t="s">
        <v>192</v>
      </c>
      <c r="B21" s="28"/>
      <c r="C21" s="28" t="s">
        <v>97</v>
      </c>
      <c r="D21" s="28"/>
      <c r="E21" s="28"/>
      <c r="F21" s="28" t="s">
        <v>61</v>
      </c>
      <c r="G21" s="28"/>
      <c r="H21" s="28" t="str">
        <f>IF(ISNUMBER(Table810[[#This Row],[Total Capacity]]),"USBR Enterprise Asset Registry",IF(Table810[[#This Row],[Total Capacity]]="",""))</f>
        <v/>
      </c>
      <c r="I21" s="28"/>
      <c r="J21" s="28"/>
      <c r="K21" s="28"/>
      <c r="L21" s="50" t="s">
        <v>98</v>
      </c>
      <c r="M21" s="48"/>
      <c r="N21" s="50" t="s">
        <v>98</v>
      </c>
      <c r="O21" s="28"/>
      <c r="P21" s="37"/>
      <c r="Q21" s="28" t="str">
        <f>IF(OR(Table810[[#This Row],[Post-Review Decision]]="Include", Table810[[#This Row],[Post-Review Decision]]="Include if possible", Table810[[#This Row],[Post-Review Decision]]="Include (Omit % Avg if needed)",  Table810[[#This Row],[Post-Review Decision]]="Include (Omit % Avg)"),Table810[[#This Row],[EAR Total Capacity]],"")</f>
        <v/>
      </c>
      <c r="R21" s="28"/>
      <c r="S21" s="45">
        <v>0</v>
      </c>
      <c r="T21" s="28"/>
      <c r="U21" s="28"/>
      <c r="V21" s="13" t="s">
        <v>193</v>
      </c>
      <c r="W21" s="12" t="b">
        <f>ISNUMBER(Table810[[#This Row],[EAR Total Capacity]])</f>
        <v>0</v>
      </c>
      <c r="X21" s="12" t="b">
        <f>IF(Table810[[#This Row],[Has  Storage for Full Averaging Period?]]="OK",TRUE,FALSE)</f>
        <v>0</v>
      </c>
      <c r="Y21" s="12" t="b">
        <f>IFERROR(IF(YEAR(Table810[[#This Row],[RISE Storage End Date]])=2025,TRUE,FALSE),FALSE)</f>
        <v>0</v>
      </c>
      <c r="Z21" s="11" t="b">
        <v>0</v>
      </c>
      <c r="AA21" s="13">
        <v>15</v>
      </c>
      <c r="AB21" s="13" t="s">
        <v>76</v>
      </c>
      <c r="AC21" s="13" t="s">
        <v>194</v>
      </c>
      <c r="AD21" s="13" t="s">
        <v>192</v>
      </c>
      <c r="AE21" s="13" t="s">
        <v>101</v>
      </c>
      <c r="AF21" s="13" t="s">
        <v>192</v>
      </c>
      <c r="AG21" s="13" t="s">
        <v>91</v>
      </c>
      <c r="AH21" s="13" t="s">
        <v>102</v>
      </c>
      <c r="AI21" s="13" t="s">
        <v>103</v>
      </c>
      <c r="AJ21" s="13"/>
      <c r="AK21" s="15"/>
      <c r="AL21" s="15"/>
      <c r="AM21" s="15" t="s">
        <v>61</v>
      </c>
      <c r="AN21" s="15" t="s">
        <v>61</v>
      </c>
      <c r="AO21" s="15" t="s">
        <v>61</v>
      </c>
      <c r="AP21" s="15" t="s">
        <v>61</v>
      </c>
      <c r="AQ21" s="22"/>
      <c r="AR21" s="25"/>
      <c r="AS21" s="25"/>
      <c r="AT21" s="25"/>
      <c r="AU21" s="25"/>
      <c r="AV21" s="25"/>
      <c r="AW21" s="25"/>
      <c r="AX21" s="24"/>
    </row>
    <row r="22" spans="1:50" ht="16.5" customHeight="1">
      <c r="A22" s="36" t="s">
        <v>195</v>
      </c>
      <c r="B22" s="28"/>
      <c r="C22" s="28" t="s">
        <v>97</v>
      </c>
      <c r="D22" s="28"/>
      <c r="E22" s="28"/>
      <c r="F22" s="28">
        <v>2</v>
      </c>
      <c r="G22" s="28"/>
      <c r="H22" s="28" t="str">
        <f>IF(ISNUMBER(Table810[[#This Row],[Total Capacity]]),"USBR Enterprise Asset Registry",IF(Table810[[#This Row],[Total Capacity]]="",""))</f>
        <v/>
      </c>
      <c r="I22" s="28"/>
      <c r="J22" s="28"/>
      <c r="K22" s="28"/>
      <c r="L22" s="50" t="s">
        <v>98</v>
      </c>
      <c r="M22" s="48"/>
      <c r="N22" s="50" t="s">
        <v>98</v>
      </c>
      <c r="O22" s="28"/>
      <c r="P22" s="37"/>
      <c r="Q22" s="28" t="str">
        <f>IF(OR(Table810[[#This Row],[Post-Review Decision]]="Include", Table810[[#This Row],[Post-Review Decision]]="Include if possible", Table810[[#This Row],[Post-Review Decision]]="Include (Omit % Avg if needed)",  Table810[[#This Row],[Post-Review Decision]]="Include (Omit % Avg)"),Table810[[#This Row],[EAR Total Capacity]],"")</f>
        <v/>
      </c>
      <c r="R22" s="28"/>
      <c r="S22" s="45" t="s">
        <v>59</v>
      </c>
      <c r="T22" s="28"/>
      <c r="U22" s="28"/>
      <c r="V22" s="17" t="s">
        <v>61</v>
      </c>
      <c r="W22" s="12" t="b">
        <f>ISNUMBER(Table810[[#This Row],[EAR Total Capacity]])</f>
        <v>0</v>
      </c>
      <c r="X22" s="12" t="b">
        <f>IF(Table810[[#This Row],[Has  Storage for Full Averaging Period?]]="OK",TRUE,FALSE)</f>
        <v>0</v>
      </c>
      <c r="Y22" s="12" t="b">
        <f>IFERROR(IF(YEAR(Table810[[#This Row],[RISE Storage End Date]])=2025,TRUE,FALSE),FALSE)</f>
        <v>1</v>
      </c>
      <c r="Z22" s="11" t="b">
        <v>0</v>
      </c>
      <c r="AA22" s="16" t="s">
        <v>61</v>
      </c>
      <c r="AB22" s="17" t="s">
        <v>61</v>
      </c>
      <c r="AC22" s="17" t="s">
        <v>61</v>
      </c>
      <c r="AD22" s="17" t="s">
        <v>61</v>
      </c>
      <c r="AE22" s="17" t="s">
        <v>61</v>
      </c>
      <c r="AF22" s="17" t="s">
        <v>61</v>
      </c>
      <c r="AG22" s="17" t="s">
        <v>61</v>
      </c>
      <c r="AH22" s="17" t="s">
        <v>61</v>
      </c>
      <c r="AI22" s="17" t="s">
        <v>61</v>
      </c>
      <c r="AJ22" s="17" t="s">
        <v>61</v>
      </c>
      <c r="AK22" s="18"/>
      <c r="AL22" s="18"/>
      <c r="AM22" s="13" t="s">
        <v>196</v>
      </c>
      <c r="AN22" s="11" t="s">
        <v>95</v>
      </c>
      <c r="AO22" s="11" t="s">
        <v>197</v>
      </c>
      <c r="AP22" s="11" t="e">
        <v>#N/A</v>
      </c>
      <c r="AQ22" s="21" t="s">
        <v>64</v>
      </c>
      <c r="AR22" s="26">
        <v>43010</v>
      </c>
      <c r="AS22" s="26">
        <v>46007</v>
      </c>
      <c r="AT22" s="25">
        <v>2818</v>
      </c>
      <c r="AU22" s="25" t="s">
        <v>66</v>
      </c>
      <c r="AV22" s="25" t="s">
        <v>65</v>
      </c>
      <c r="AW22" s="25" t="s">
        <v>66</v>
      </c>
      <c r="AX22" s="23"/>
    </row>
    <row r="23" spans="1:50" ht="16.5" customHeight="1">
      <c r="A23" s="36" t="s">
        <v>198</v>
      </c>
      <c r="B23" s="28" t="s">
        <v>68</v>
      </c>
      <c r="C23" s="28" t="s">
        <v>86</v>
      </c>
      <c r="D23" s="28"/>
      <c r="E23" s="28" t="s">
        <v>70</v>
      </c>
      <c r="F23" s="28">
        <v>267</v>
      </c>
      <c r="G23" s="28">
        <v>3</v>
      </c>
      <c r="H23" s="28" t="str">
        <f>IF(ISNUMBER(Table810[[#This Row],[Total Capacity]]),"USBR Enterprise Asset Registry",IF(Table810[[#This Row],[Total Capacity]]="",""))</f>
        <v>USBR Enterprise Asset Registry</v>
      </c>
      <c r="I23" s="28" t="s">
        <v>57</v>
      </c>
      <c r="J23" s="28" t="s">
        <v>72</v>
      </c>
      <c r="K23" s="28"/>
      <c r="L23" s="50">
        <v>4466</v>
      </c>
      <c r="M23" s="48">
        <v>4484</v>
      </c>
      <c r="N23" s="50">
        <v>4484</v>
      </c>
      <c r="O23" s="28"/>
      <c r="P23" s="37"/>
      <c r="Q23" s="28">
        <f>IF(OR(Table810[[#This Row],[Post-Review Decision]]="Include", Table810[[#This Row],[Post-Review Decision]]="Include if possible", Table810[[#This Row],[Post-Review Decision]]="Include (Omit % Avg if needed)",  Table810[[#This Row],[Post-Review Decision]]="Include (Omit % Avg)"),Table810[[#This Row],[EAR Total Capacity]],"")</f>
        <v>4466</v>
      </c>
      <c r="R23" s="28">
        <v>4466</v>
      </c>
      <c r="S23" s="46">
        <v>4466</v>
      </c>
      <c r="T23" s="28" t="s">
        <v>198</v>
      </c>
      <c r="U23" s="28" t="s">
        <v>199</v>
      </c>
      <c r="V23" s="13" t="s">
        <v>200</v>
      </c>
      <c r="W23" s="12" t="b">
        <f>ISNUMBER(Table810[[#This Row],[EAR Total Capacity]])</f>
        <v>1</v>
      </c>
      <c r="X23" s="12" t="b">
        <f>IF(Table810[[#This Row],[Has  Storage for Full Averaging Period?]]="OK",TRUE,FALSE)</f>
        <v>1</v>
      </c>
      <c r="Y23" s="12" t="b">
        <f>IFERROR(IF(YEAR(Table810[[#This Row],[RISE Storage End Date]])=2025,TRUE,FALSE),FALSE)</f>
        <v>1</v>
      </c>
      <c r="Z23" s="11" t="b">
        <v>0</v>
      </c>
      <c r="AA23" s="13">
        <v>17</v>
      </c>
      <c r="AB23" s="13" t="s">
        <v>76</v>
      </c>
      <c r="AC23" s="13" t="s">
        <v>201</v>
      </c>
      <c r="AD23" s="13" t="s">
        <v>198</v>
      </c>
      <c r="AE23" s="13" t="s">
        <v>78</v>
      </c>
      <c r="AF23" s="13" t="s">
        <v>202</v>
      </c>
      <c r="AG23" s="13" t="s">
        <v>91</v>
      </c>
      <c r="AH23" s="13" t="s">
        <v>102</v>
      </c>
      <c r="AI23" s="13" t="s">
        <v>93</v>
      </c>
      <c r="AJ23" s="14">
        <v>4466</v>
      </c>
      <c r="AK23" s="18"/>
      <c r="AL23" s="18"/>
      <c r="AM23" s="13" t="s">
        <v>203</v>
      </c>
      <c r="AN23" s="13" t="s">
        <v>63</v>
      </c>
      <c r="AO23" s="13" t="s">
        <v>198</v>
      </c>
      <c r="AP23" s="13" t="s">
        <v>198</v>
      </c>
      <c r="AQ23" s="21" t="s">
        <v>64</v>
      </c>
      <c r="AR23" s="26">
        <v>24016</v>
      </c>
      <c r="AS23" s="26">
        <v>46007</v>
      </c>
      <c r="AT23" s="25">
        <v>21993</v>
      </c>
      <c r="AU23" s="25" t="s">
        <v>65</v>
      </c>
      <c r="AV23" s="25" t="s">
        <v>65</v>
      </c>
      <c r="AW23" s="25" t="s">
        <v>65</v>
      </c>
      <c r="AX23" s="24"/>
    </row>
    <row r="24" spans="1:50" ht="16.5" customHeight="1">
      <c r="A24" s="36" t="s">
        <v>204</v>
      </c>
      <c r="B24" s="28" t="s">
        <v>68</v>
      </c>
      <c r="C24" s="28" t="s">
        <v>69</v>
      </c>
      <c r="D24" s="28"/>
      <c r="E24" s="28" t="s">
        <v>70</v>
      </c>
      <c r="F24" s="28">
        <v>7264</v>
      </c>
      <c r="G24" s="28">
        <v>3</v>
      </c>
      <c r="H24" s="28" t="str">
        <f>IF(ISNUMBER(Table810[[#This Row],[Total Capacity]]),"USBR Enterprise Asset Registry",IF(Table810[[#This Row],[Total Capacity]]="",""))</f>
        <v>USBR Enterprise Asset Registry</v>
      </c>
      <c r="I24" s="28" t="s">
        <v>71</v>
      </c>
      <c r="J24" s="28" t="s">
        <v>72</v>
      </c>
      <c r="K24" s="28"/>
      <c r="L24" s="50">
        <v>715000</v>
      </c>
      <c r="M24" s="48"/>
      <c r="N24" s="50">
        <v>715000</v>
      </c>
      <c r="O24" s="28"/>
      <c r="P24" s="37"/>
      <c r="Q24" s="28">
        <f>IF(OR(Table810[[#This Row],[Post-Review Decision]]="Include", Table810[[#This Row],[Post-Review Decision]]="Include if possible", Table810[[#This Row],[Post-Review Decision]]="Include (Omit % Avg if needed)",  Table810[[#This Row],[Post-Review Decision]]="Include (Omit % Avg)"),Table810[[#This Row],[EAR Total Capacity]],"")</f>
        <v>1275000</v>
      </c>
      <c r="R24" s="28">
        <v>715000</v>
      </c>
      <c r="S24" s="46">
        <v>1053000</v>
      </c>
      <c r="T24" s="28" t="s">
        <v>205</v>
      </c>
      <c r="U24" s="28" t="s">
        <v>205</v>
      </c>
      <c r="V24" s="13" t="s">
        <v>206</v>
      </c>
      <c r="W24" s="12" t="b">
        <f>ISNUMBER(Table810[[#This Row],[EAR Total Capacity]])</f>
        <v>1</v>
      </c>
      <c r="X24" s="12" t="s">
        <v>75</v>
      </c>
      <c r="Y24" s="12" t="b">
        <f>IFERROR(IF(YEAR(Table810[[#This Row],[RISE Storage End Date]])=2025,TRUE,FALSE),FALSE)</f>
        <v>0</v>
      </c>
      <c r="Z24" s="11" t="b">
        <v>0</v>
      </c>
      <c r="AA24" s="13">
        <v>18</v>
      </c>
      <c r="AB24" s="13" t="s">
        <v>76</v>
      </c>
      <c r="AC24" s="13" t="s">
        <v>207</v>
      </c>
      <c r="AD24" s="13" t="s">
        <v>204</v>
      </c>
      <c r="AE24" s="13" t="s">
        <v>78</v>
      </c>
      <c r="AF24" s="13" t="s">
        <v>208</v>
      </c>
      <c r="AG24" s="13" t="s">
        <v>80</v>
      </c>
      <c r="AH24" s="13" t="s">
        <v>81</v>
      </c>
      <c r="AI24" s="13" t="s">
        <v>82</v>
      </c>
      <c r="AJ24" s="19">
        <v>1275000</v>
      </c>
      <c r="AK24" s="18"/>
      <c r="AL24" s="18"/>
      <c r="AM24" s="13" t="s">
        <v>209</v>
      </c>
      <c r="AN24" s="13" t="s">
        <v>84</v>
      </c>
      <c r="AO24" s="13" t="s">
        <v>204</v>
      </c>
      <c r="AP24" s="13" t="s">
        <v>210</v>
      </c>
      <c r="AQ24" s="21" t="s">
        <v>64</v>
      </c>
      <c r="AR24" s="25"/>
      <c r="AS24" s="25"/>
      <c r="AT24" s="25"/>
      <c r="AU24" s="25"/>
      <c r="AV24" s="25"/>
      <c r="AW24" s="25"/>
      <c r="AX24" s="24"/>
    </row>
    <row r="25" spans="1:50" ht="16.5" customHeight="1">
      <c r="A25" s="36" t="s">
        <v>211</v>
      </c>
      <c r="B25" s="28"/>
      <c r="C25" s="28" t="s">
        <v>97</v>
      </c>
      <c r="D25" s="28"/>
      <c r="E25" s="28"/>
      <c r="F25" s="28" t="s">
        <v>61</v>
      </c>
      <c r="G25" s="28"/>
      <c r="H25" s="28" t="str">
        <f>IF(ISNUMBER(Table810[[#This Row],[Total Capacity]]),"USBR Enterprise Asset Registry",IF(Table810[[#This Row],[Total Capacity]]="",""))</f>
        <v/>
      </c>
      <c r="I25" s="28"/>
      <c r="J25" s="28"/>
      <c r="K25" s="28"/>
      <c r="L25" s="50" t="s">
        <v>98</v>
      </c>
      <c r="M25" s="48"/>
      <c r="N25" s="50" t="s">
        <v>98</v>
      </c>
      <c r="O25" s="28"/>
      <c r="P25" s="37"/>
      <c r="Q25" s="28" t="str">
        <f>IF(OR(Table810[[#This Row],[Post-Review Decision]]="Include", Table810[[#This Row],[Post-Review Decision]]="Include if possible", Table810[[#This Row],[Post-Review Decision]]="Include (Omit % Avg if needed)",  Table810[[#This Row],[Post-Review Decision]]="Include (Omit % Avg)"),Table810[[#This Row],[EAR Total Capacity]],"")</f>
        <v/>
      </c>
      <c r="R25" s="28"/>
      <c r="S25" s="45">
        <v>0</v>
      </c>
      <c r="T25" s="28"/>
      <c r="U25" s="28"/>
      <c r="V25" s="13" t="s">
        <v>212</v>
      </c>
      <c r="W25" s="12" t="b">
        <f>ISNUMBER(Table810[[#This Row],[EAR Total Capacity]])</f>
        <v>1</v>
      </c>
      <c r="X25" s="12" t="b">
        <f>IF(Table810[[#This Row],[Has  Storage for Full Averaging Period?]]="OK",TRUE,FALSE)</f>
        <v>0</v>
      </c>
      <c r="Y25" s="12" t="b">
        <f>IFERROR(IF(YEAR(Table810[[#This Row],[RISE Storage End Date]])=2025,TRUE,FALSE),FALSE)</f>
        <v>0</v>
      </c>
      <c r="Z25" s="11" t="b">
        <v>0</v>
      </c>
      <c r="AA25" s="13">
        <v>19</v>
      </c>
      <c r="AB25" s="13" t="s">
        <v>76</v>
      </c>
      <c r="AC25" s="13" t="s">
        <v>213</v>
      </c>
      <c r="AD25" s="13" t="s">
        <v>211</v>
      </c>
      <c r="AE25" s="13" t="s">
        <v>78</v>
      </c>
      <c r="AF25" s="13" t="s">
        <v>214</v>
      </c>
      <c r="AG25" s="13" t="s">
        <v>109</v>
      </c>
      <c r="AH25" s="13" t="s">
        <v>92</v>
      </c>
      <c r="AI25" s="13" t="s">
        <v>103</v>
      </c>
      <c r="AJ25" s="14">
        <v>300</v>
      </c>
      <c r="AK25" s="15"/>
      <c r="AL25" s="15"/>
      <c r="AM25" s="15" t="s">
        <v>61</v>
      </c>
      <c r="AN25" s="15" t="s">
        <v>61</v>
      </c>
      <c r="AO25" s="15" t="s">
        <v>61</v>
      </c>
      <c r="AP25" s="15" t="s">
        <v>61</v>
      </c>
      <c r="AQ25" s="21" t="s">
        <v>136</v>
      </c>
      <c r="AR25" s="25"/>
      <c r="AS25" s="25"/>
      <c r="AT25" s="25"/>
      <c r="AU25" s="25"/>
      <c r="AV25" s="25"/>
      <c r="AW25" s="25"/>
      <c r="AX25" s="24"/>
    </row>
    <row r="26" spans="1:50" ht="16.5" customHeight="1">
      <c r="A26" s="36" t="s">
        <v>215</v>
      </c>
      <c r="B26" s="28"/>
      <c r="C26" s="28" t="s">
        <v>97</v>
      </c>
      <c r="D26" s="28"/>
      <c r="E26" s="28"/>
      <c r="F26" s="28" t="s">
        <v>61</v>
      </c>
      <c r="G26" s="28"/>
      <c r="H26" s="28" t="str">
        <f>IF(ISNUMBER(Table810[[#This Row],[Total Capacity]]),"USBR Enterprise Asset Registry",IF(Table810[[#This Row],[Total Capacity]]="",""))</f>
        <v/>
      </c>
      <c r="I26" s="28"/>
      <c r="J26" s="28"/>
      <c r="K26" s="28"/>
      <c r="L26" s="50" t="s">
        <v>98</v>
      </c>
      <c r="M26" s="48"/>
      <c r="N26" s="50" t="s">
        <v>98</v>
      </c>
      <c r="O26" s="28"/>
      <c r="P26" s="37"/>
      <c r="Q26" s="28" t="str">
        <f>IF(OR(Table810[[#This Row],[Post-Review Decision]]="Include", Table810[[#This Row],[Post-Review Decision]]="Include if possible", Table810[[#This Row],[Post-Review Decision]]="Include (Omit % Avg if needed)",  Table810[[#This Row],[Post-Review Decision]]="Include (Omit % Avg)"),Table810[[#This Row],[EAR Total Capacity]],"")</f>
        <v/>
      </c>
      <c r="R26" s="28"/>
      <c r="S26" s="45">
        <v>178000</v>
      </c>
      <c r="T26" s="28"/>
      <c r="U26" s="28"/>
      <c r="V26" s="13" t="s">
        <v>176</v>
      </c>
      <c r="W26" s="12" t="b">
        <f>ISNUMBER(Table810[[#This Row],[EAR Total Capacity]])</f>
        <v>1</v>
      </c>
      <c r="X26" s="12" t="b">
        <f>IF(Table810[[#This Row],[Has  Storage for Full Averaging Period?]]="OK",TRUE,FALSE)</f>
        <v>0</v>
      </c>
      <c r="Y26" s="12" t="b">
        <f>IFERROR(IF(YEAR(Table810[[#This Row],[RISE Storage End Date]])=2025,TRUE,FALSE),FALSE)</f>
        <v>0</v>
      </c>
      <c r="Z26" s="11" t="b">
        <v>0</v>
      </c>
      <c r="AA26" s="13">
        <v>20</v>
      </c>
      <c r="AB26" s="13" t="s">
        <v>76</v>
      </c>
      <c r="AC26" s="13" t="s">
        <v>216</v>
      </c>
      <c r="AD26" s="13" t="s">
        <v>215</v>
      </c>
      <c r="AE26" s="13" t="s">
        <v>78</v>
      </c>
      <c r="AF26" s="13" t="s">
        <v>217</v>
      </c>
      <c r="AG26" s="13" t="s">
        <v>179</v>
      </c>
      <c r="AH26" s="13" t="s">
        <v>180</v>
      </c>
      <c r="AI26" s="13" t="s">
        <v>93</v>
      </c>
      <c r="AJ26" s="14">
        <v>178000</v>
      </c>
      <c r="AK26" s="15"/>
      <c r="AL26" s="15"/>
      <c r="AM26" s="15" t="s">
        <v>61</v>
      </c>
      <c r="AN26" s="15" t="s">
        <v>61</v>
      </c>
      <c r="AO26" s="15" t="s">
        <v>61</v>
      </c>
      <c r="AP26" s="15" t="s">
        <v>61</v>
      </c>
      <c r="AQ26" s="21" t="s">
        <v>136</v>
      </c>
      <c r="AR26" s="25"/>
      <c r="AS26" s="25"/>
      <c r="AT26" s="25"/>
      <c r="AU26" s="25"/>
      <c r="AV26" s="25"/>
      <c r="AW26" s="25"/>
      <c r="AX26" s="24"/>
    </row>
    <row r="27" spans="1:50" ht="16.5" customHeight="1">
      <c r="A27" s="36" t="s">
        <v>218</v>
      </c>
      <c r="B27" s="28"/>
      <c r="C27" s="28" t="s">
        <v>97</v>
      </c>
      <c r="D27" s="28"/>
      <c r="E27" s="28"/>
      <c r="F27" s="28" t="s">
        <v>61</v>
      </c>
      <c r="G27" s="28"/>
      <c r="H27" s="28" t="str">
        <f>IF(ISNUMBER(Table810[[#This Row],[Total Capacity]]),"USBR Enterprise Asset Registry",IF(Table810[[#This Row],[Total Capacity]]="",""))</f>
        <v/>
      </c>
      <c r="I27" s="28"/>
      <c r="J27" s="28"/>
      <c r="K27" s="28"/>
      <c r="L27" s="50" t="s">
        <v>98</v>
      </c>
      <c r="M27" s="48"/>
      <c r="N27" s="50" t="s">
        <v>98</v>
      </c>
      <c r="O27" s="28"/>
      <c r="P27" s="37" t="s">
        <v>219</v>
      </c>
      <c r="Q27" s="28" t="str">
        <f>IF(OR(Table810[[#This Row],[Post-Review Decision]]="Include", Table810[[#This Row],[Post-Review Decision]]="Include if possible", Table810[[#This Row],[Post-Review Decision]]="Include (Omit % Avg if needed)",  Table810[[#This Row],[Post-Review Decision]]="Include (Omit % Avg)"),Table810[[#This Row],[EAR Total Capacity]],"")</f>
        <v/>
      </c>
      <c r="R27" s="28"/>
      <c r="S27" s="45">
        <v>0</v>
      </c>
      <c r="T27" s="28"/>
      <c r="U27" s="28"/>
      <c r="V27" s="13" t="s">
        <v>220</v>
      </c>
      <c r="W27" s="12" t="b">
        <f>ISNUMBER(Table810[[#This Row],[EAR Total Capacity]])</f>
        <v>0</v>
      </c>
      <c r="X27" s="12" t="b">
        <f>IF(Table810[[#This Row],[Has  Storage for Full Averaging Period?]]="OK",TRUE,FALSE)</f>
        <v>0</v>
      </c>
      <c r="Y27" s="12" t="b">
        <f>IFERROR(IF(YEAR(Table810[[#This Row],[RISE Storage End Date]])=2025,TRUE,FALSE),FALSE)</f>
        <v>0</v>
      </c>
      <c r="Z27" s="11" t="b">
        <v>0</v>
      </c>
      <c r="AA27" s="13">
        <v>21</v>
      </c>
      <c r="AB27" s="13" t="s">
        <v>76</v>
      </c>
      <c r="AC27" s="13" t="s">
        <v>221</v>
      </c>
      <c r="AD27" s="13" t="s">
        <v>218</v>
      </c>
      <c r="AE27" s="13" t="s">
        <v>101</v>
      </c>
      <c r="AF27" s="13" t="s">
        <v>222</v>
      </c>
      <c r="AG27" s="13" t="s">
        <v>109</v>
      </c>
      <c r="AH27" s="13" t="s">
        <v>92</v>
      </c>
      <c r="AI27" s="13" t="s">
        <v>103</v>
      </c>
      <c r="AJ27" s="14"/>
      <c r="AK27" s="15"/>
      <c r="AL27" s="15"/>
      <c r="AM27" s="15" t="s">
        <v>61</v>
      </c>
      <c r="AN27" s="15" t="s">
        <v>61</v>
      </c>
      <c r="AO27" s="15" t="s">
        <v>61</v>
      </c>
      <c r="AP27" s="15" t="s">
        <v>61</v>
      </c>
      <c r="AQ27" s="22"/>
      <c r="AR27" s="25"/>
      <c r="AS27" s="25"/>
      <c r="AT27" s="25"/>
      <c r="AU27" s="25"/>
      <c r="AV27" s="25"/>
      <c r="AW27" s="25"/>
      <c r="AX27" s="24"/>
    </row>
    <row r="28" spans="1:50" ht="16.5" customHeight="1">
      <c r="A28" s="36" t="s">
        <v>223</v>
      </c>
      <c r="B28" s="28"/>
      <c r="C28" s="28" t="s">
        <v>97</v>
      </c>
      <c r="D28" s="28"/>
      <c r="E28" s="28"/>
      <c r="F28" s="28" t="s">
        <v>61</v>
      </c>
      <c r="G28" s="28"/>
      <c r="H28" s="28" t="str">
        <f>IF(ISNUMBER(Table810[[#This Row],[Total Capacity]]),"USBR Enterprise Asset Registry",IF(Table810[[#This Row],[Total Capacity]]="",""))</f>
        <v/>
      </c>
      <c r="I28" s="28"/>
      <c r="J28" s="28"/>
      <c r="K28" s="28"/>
      <c r="L28" s="50" t="s">
        <v>98</v>
      </c>
      <c r="M28" s="48"/>
      <c r="N28" s="50" t="s">
        <v>98</v>
      </c>
      <c r="O28" s="28"/>
      <c r="P28" s="37"/>
      <c r="Q28" s="28" t="str">
        <f>IF(OR(Table810[[#This Row],[Post-Review Decision]]="Include", Table810[[#This Row],[Post-Review Decision]]="Include if possible", Table810[[#This Row],[Post-Review Decision]]="Include (Omit % Avg if needed)",  Table810[[#This Row],[Post-Review Decision]]="Include (Omit % Avg)"),Table810[[#This Row],[EAR Total Capacity]],"")</f>
        <v/>
      </c>
      <c r="R28" s="28"/>
      <c r="S28" s="45">
        <v>0</v>
      </c>
      <c r="T28" s="28"/>
      <c r="U28" s="28"/>
      <c r="V28" s="13" t="s">
        <v>224</v>
      </c>
      <c r="W28" s="12" t="b">
        <f>ISNUMBER(Table810[[#This Row],[EAR Total Capacity]])</f>
        <v>0</v>
      </c>
      <c r="X28" s="12" t="b">
        <f>IF(Table810[[#This Row],[Has  Storage for Full Averaging Period?]]="OK",TRUE,FALSE)</f>
        <v>0</v>
      </c>
      <c r="Y28" s="12" t="b">
        <f>IFERROR(IF(YEAR(Table810[[#This Row],[RISE Storage End Date]])=2025,TRUE,FALSE),FALSE)</f>
        <v>0</v>
      </c>
      <c r="Z28" s="11" t="b">
        <v>0</v>
      </c>
      <c r="AA28" s="13">
        <v>22</v>
      </c>
      <c r="AB28" s="13" t="s">
        <v>76</v>
      </c>
      <c r="AC28" s="13" t="s">
        <v>225</v>
      </c>
      <c r="AD28" s="13" t="s">
        <v>223</v>
      </c>
      <c r="AE28" s="13" t="s">
        <v>101</v>
      </c>
      <c r="AF28" s="13" t="s">
        <v>226</v>
      </c>
      <c r="AG28" s="13" t="s">
        <v>91</v>
      </c>
      <c r="AH28" s="13" t="s">
        <v>102</v>
      </c>
      <c r="AI28" s="13" t="s">
        <v>103</v>
      </c>
      <c r="AJ28" s="14"/>
      <c r="AK28" s="15"/>
      <c r="AL28" s="15"/>
      <c r="AM28" s="15" t="s">
        <v>61</v>
      </c>
      <c r="AN28" s="15" t="s">
        <v>61</v>
      </c>
      <c r="AO28" s="15" t="s">
        <v>61</v>
      </c>
      <c r="AP28" s="15" t="s">
        <v>61</v>
      </c>
      <c r="AQ28" s="22"/>
      <c r="AR28" s="25"/>
      <c r="AS28" s="25"/>
      <c r="AT28" s="25"/>
      <c r="AU28" s="25"/>
      <c r="AV28" s="25"/>
      <c r="AW28" s="25"/>
      <c r="AX28" s="24"/>
    </row>
    <row r="29" spans="1:50" ht="16.5" customHeight="1">
      <c r="A29" s="36" t="s">
        <v>227</v>
      </c>
      <c r="B29" s="28"/>
      <c r="C29" s="28" t="s">
        <v>97</v>
      </c>
      <c r="D29" s="28"/>
      <c r="E29" s="28"/>
      <c r="F29" s="28" t="s">
        <v>61</v>
      </c>
      <c r="G29" s="28"/>
      <c r="H29" s="28" t="str">
        <f>IF(ISNUMBER(Table810[[#This Row],[Total Capacity]]),"USBR Enterprise Asset Registry",IF(Table810[[#This Row],[Total Capacity]]="",""))</f>
        <v/>
      </c>
      <c r="I29" s="28"/>
      <c r="J29" s="28"/>
      <c r="K29" s="28"/>
      <c r="L29" s="50" t="s">
        <v>98</v>
      </c>
      <c r="M29" s="48"/>
      <c r="N29" s="50" t="s">
        <v>98</v>
      </c>
      <c r="O29" s="28"/>
      <c r="P29" s="37"/>
      <c r="Q29" s="28" t="str">
        <f>IF(OR(Table810[[#This Row],[Post-Review Decision]]="Include", Table810[[#This Row],[Post-Review Decision]]="Include if possible", Table810[[#This Row],[Post-Review Decision]]="Include (Omit % Avg if needed)",  Table810[[#This Row],[Post-Review Decision]]="Include (Omit % Avg)"),Table810[[#This Row],[EAR Total Capacity]],"")</f>
        <v/>
      </c>
      <c r="R29" s="28"/>
      <c r="S29" s="45">
        <v>0</v>
      </c>
      <c r="T29" s="28"/>
      <c r="U29" s="28"/>
      <c r="V29" s="13" t="s">
        <v>74</v>
      </c>
      <c r="W29" s="12" t="b">
        <f>ISNUMBER(Table810[[#This Row],[EAR Total Capacity]])</f>
        <v>0</v>
      </c>
      <c r="X29" s="12" t="b">
        <f>IF(Table810[[#This Row],[Has  Storage for Full Averaging Period?]]="OK",TRUE,FALSE)</f>
        <v>0</v>
      </c>
      <c r="Y29" s="12" t="b">
        <f>IFERROR(IF(YEAR(Table810[[#This Row],[RISE Storage End Date]])=2025,TRUE,FALSE),FALSE)</f>
        <v>0</v>
      </c>
      <c r="Z29" s="11" t="b">
        <v>0</v>
      </c>
      <c r="AA29" s="13">
        <v>23</v>
      </c>
      <c r="AB29" s="13" t="s">
        <v>76</v>
      </c>
      <c r="AC29" s="13" t="s">
        <v>228</v>
      </c>
      <c r="AD29" s="13" t="s">
        <v>227</v>
      </c>
      <c r="AE29" s="13" t="s">
        <v>101</v>
      </c>
      <c r="AF29" s="13" t="s">
        <v>229</v>
      </c>
      <c r="AG29" s="13" t="s">
        <v>80</v>
      </c>
      <c r="AH29" s="13" t="s">
        <v>81</v>
      </c>
      <c r="AI29" s="13" t="s">
        <v>103</v>
      </c>
      <c r="AJ29" s="14"/>
      <c r="AK29" s="15"/>
      <c r="AL29" s="15"/>
      <c r="AM29" s="15" t="s">
        <v>61</v>
      </c>
      <c r="AN29" s="15" t="s">
        <v>61</v>
      </c>
      <c r="AO29" s="15" t="s">
        <v>61</v>
      </c>
      <c r="AP29" s="15" t="s">
        <v>61</v>
      </c>
      <c r="AQ29" s="22"/>
      <c r="AR29" s="25"/>
      <c r="AS29" s="25"/>
      <c r="AT29" s="25"/>
      <c r="AU29" s="25"/>
      <c r="AV29" s="25"/>
      <c r="AW29" s="25"/>
      <c r="AX29" s="24"/>
    </row>
    <row r="30" spans="1:50" ht="16.5" customHeight="1">
      <c r="A30" s="36" t="s">
        <v>230</v>
      </c>
      <c r="B30" s="28" t="s">
        <v>68</v>
      </c>
      <c r="C30" s="28" t="s">
        <v>86</v>
      </c>
      <c r="D30" s="28"/>
      <c r="E30" s="28" t="s">
        <v>70</v>
      </c>
      <c r="F30" s="28">
        <v>274</v>
      </c>
      <c r="G30" s="28">
        <v>3</v>
      </c>
      <c r="H30" s="28" t="str">
        <f>IF(ISNUMBER(Table810[[#This Row],[Total Capacity]]),"USBR Enterprise Asset Registry",IF(Table810[[#This Row],[Total Capacity]]="",""))</f>
        <v>USBR Enterprise Asset Registry</v>
      </c>
      <c r="I30" s="28" t="s">
        <v>57</v>
      </c>
      <c r="J30" s="28" t="s">
        <v>72</v>
      </c>
      <c r="K30" s="28"/>
      <c r="L30" s="50">
        <v>172873</v>
      </c>
      <c r="M30" s="48"/>
      <c r="N30" s="50">
        <v>172873</v>
      </c>
      <c r="O30" s="28"/>
      <c r="P30" s="37"/>
      <c r="Q30" s="28">
        <f>IF(OR(Table810[[#This Row],[Post-Review Decision]]="Include", Table810[[#This Row],[Post-Review Decision]]="Include if possible", Table810[[#This Row],[Post-Review Decision]]="Include (Omit % Avg if needed)",  Table810[[#This Row],[Post-Review Decision]]="Include (Omit % Avg)"),Table810[[#This Row],[EAR Total Capacity]],"")</f>
        <v>172873</v>
      </c>
      <c r="R30" s="28">
        <v>169790</v>
      </c>
      <c r="S30" s="46">
        <v>169790</v>
      </c>
      <c r="T30" s="28" t="s">
        <v>230</v>
      </c>
      <c r="U30" s="28" t="s">
        <v>231</v>
      </c>
      <c r="V30" s="13" t="s">
        <v>232</v>
      </c>
      <c r="W30" s="12" t="b">
        <f>ISNUMBER(Table810[[#This Row],[EAR Total Capacity]])</f>
        <v>1</v>
      </c>
      <c r="X30" s="12" t="b">
        <f>IF(Table810[[#This Row],[Has  Storage for Full Averaging Period?]]="OK",TRUE,FALSE)</f>
        <v>1</v>
      </c>
      <c r="Y30" s="12" t="b">
        <f>IFERROR(IF(YEAR(Table810[[#This Row],[RISE Storage End Date]])=2025,TRUE,FALSE),FALSE)</f>
        <v>1</v>
      </c>
      <c r="Z30" s="11" t="b">
        <v>0</v>
      </c>
      <c r="AA30" s="13">
        <v>25</v>
      </c>
      <c r="AB30" s="13" t="s">
        <v>76</v>
      </c>
      <c r="AC30" s="13" t="s">
        <v>233</v>
      </c>
      <c r="AD30" s="13" t="s">
        <v>230</v>
      </c>
      <c r="AE30" s="13" t="s">
        <v>78</v>
      </c>
      <c r="AF30" s="13" t="s">
        <v>234</v>
      </c>
      <c r="AG30" s="13" t="s">
        <v>109</v>
      </c>
      <c r="AH30" s="13" t="s">
        <v>92</v>
      </c>
      <c r="AI30" s="13" t="s">
        <v>93</v>
      </c>
      <c r="AJ30" s="13">
        <v>172873</v>
      </c>
      <c r="AK30" s="18"/>
      <c r="AL30" s="18"/>
      <c r="AM30" s="13" t="s">
        <v>235</v>
      </c>
      <c r="AN30" s="13" t="s">
        <v>95</v>
      </c>
      <c r="AO30" s="13" t="s">
        <v>230</v>
      </c>
      <c r="AP30" s="13" t="s">
        <v>230</v>
      </c>
      <c r="AQ30" s="21" t="s">
        <v>64</v>
      </c>
      <c r="AR30" s="26">
        <v>28399</v>
      </c>
      <c r="AS30" s="26">
        <v>46007</v>
      </c>
      <c r="AT30" s="25">
        <v>14171</v>
      </c>
      <c r="AU30" s="25" t="s">
        <v>65</v>
      </c>
      <c r="AV30" s="25" t="s">
        <v>65</v>
      </c>
      <c r="AW30" s="25" t="s">
        <v>65</v>
      </c>
      <c r="AX30" s="24"/>
    </row>
    <row r="31" spans="1:50" ht="16.5" customHeight="1">
      <c r="A31" s="36" t="s">
        <v>236</v>
      </c>
      <c r="B31" s="28"/>
      <c r="C31" s="28" t="s">
        <v>97</v>
      </c>
      <c r="D31" s="28"/>
      <c r="E31" s="28"/>
      <c r="F31" s="28" t="s">
        <v>61</v>
      </c>
      <c r="G31" s="28"/>
      <c r="H31" s="28" t="str">
        <f>IF(ISNUMBER(Table810[[#This Row],[Total Capacity]]),"USBR Enterprise Asset Registry",IF(Table810[[#This Row],[Total Capacity]]="",""))</f>
        <v/>
      </c>
      <c r="I31" s="28"/>
      <c r="J31" s="28"/>
      <c r="K31" s="28"/>
      <c r="L31" s="50" t="s">
        <v>98</v>
      </c>
      <c r="M31" s="48"/>
      <c r="N31" s="50" t="s">
        <v>98</v>
      </c>
      <c r="O31" s="28"/>
      <c r="P31" s="37"/>
      <c r="Q31" s="28" t="str">
        <f>IF(OR(Table810[[#This Row],[Post-Review Decision]]="Include", Table810[[#This Row],[Post-Review Decision]]="Include if possible", Table810[[#This Row],[Post-Review Decision]]="Include (Omit % Avg if needed)",  Table810[[#This Row],[Post-Review Decision]]="Include (Omit % Avg)"),Table810[[#This Row],[EAR Total Capacity]],"")</f>
        <v/>
      </c>
      <c r="R31" s="28"/>
      <c r="S31" s="45">
        <v>0</v>
      </c>
      <c r="T31" s="28"/>
      <c r="U31" s="28"/>
      <c r="V31" s="13" t="s">
        <v>232</v>
      </c>
      <c r="W31" s="12" t="b">
        <f>ISNUMBER(Table810[[#This Row],[EAR Total Capacity]])</f>
        <v>1</v>
      </c>
      <c r="X31" s="12" t="b">
        <f>IF(Table810[[#This Row],[Has  Storage for Full Averaging Period?]]="OK",TRUE,FALSE)</f>
        <v>0</v>
      </c>
      <c r="Y31" s="12" t="b">
        <f>IFERROR(IF(YEAR(Table810[[#This Row],[RISE Storage End Date]])=2025,TRUE,FALSE),FALSE)</f>
        <v>0</v>
      </c>
      <c r="Z31" s="11" t="b">
        <v>0</v>
      </c>
      <c r="AA31" s="13">
        <v>24</v>
      </c>
      <c r="AB31" s="13" t="s">
        <v>76</v>
      </c>
      <c r="AC31" s="13" t="s">
        <v>237</v>
      </c>
      <c r="AD31" s="13" t="s">
        <v>236</v>
      </c>
      <c r="AE31" s="13" t="s">
        <v>78</v>
      </c>
      <c r="AF31" s="13" t="s">
        <v>238</v>
      </c>
      <c r="AG31" s="13" t="s">
        <v>109</v>
      </c>
      <c r="AH31" s="13" t="s">
        <v>92</v>
      </c>
      <c r="AI31" s="13" t="s">
        <v>103</v>
      </c>
      <c r="AJ31" s="14">
        <v>500</v>
      </c>
      <c r="AK31" s="15"/>
      <c r="AL31" s="15"/>
      <c r="AM31" s="15" t="s">
        <v>61</v>
      </c>
      <c r="AN31" s="15" t="s">
        <v>61</v>
      </c>
      <c r="AO31" s="15" t="s">
        <v>61</v>
      </c>
      <c r="AP31" s="15" t="s">
        <v>61</v>
      </c>
      <c r="AQ31" s="21" t="s">
        <v>136</v>
      </c>
      <c r="AR31" s="25"/>
      <c r="AS31" s="25"/>
      <c r="AT31" s="25"/>
      <c r="AU31" s="25"/>
      <c r="AV31" s="25"/>
      <c r="AW31" s="25"/>
      <c r="AX31" s="24"/>
    </row>
    <row r="32" spans="1:50" ht="16.5" customHeight="1">
      <c r="A32" s="36" t="s">
        <v>239</v>
      </c>
      <c r="B32" s="28" t="s">
        <v>68</v>
      </c>
      <c r="C32" s="28" t="s">
        <v>86</v>
      </c>
      <c r="D32" s="28"/>
      <c r="E32" s="28" t="s">
        <v>70</v>
      </c>
      <c r="F32" s="28">
        <v>272</v>
      </c>
      <c r="G32" s="28">
        <v>3</v>
      </c>
      <c r="H32" s="28" t="str">
        <f>IF(ISNUMBER(Table810[[#This Row],[Total Capacity]]),"USBR Enterprise Asset Registry",IF(Table810[[#This Row],[Total Capacity]]="",""))</f>
        <v>USBR Enterprise Asset Registry</v>
      </c>
      <c r="I32" s="28" t="s">
        <v>57</v>
      </c>
      <c r="J32" s="28"/>
      <c r="K32" s="28"/>
      <c r="L32" s="50">
        <v>1602278</v>
      </c>
      <c r="M32" s="48"/>
      <c r="N32" s="50">
        <v>1602278</v>
      </c>
      <c r="O32" s="28"/>
      <c r="P32" s="37"/>
      <c r="Q32" s="28">
        <f>IF(OR(Table810[[#This Row],[Post-Review Decision]]="Include", Table810[[#This Row],[Post-Review Decision]]="Include if possible", Table810[[#This Row],[Post-Review Decision]]="Include (Omit % Avg if needed)",  Table810[[#This Row],[Post-Review Decision]]="Include (Omit % Avg)"),Table810[[#This Row],[EAR Total Capacity]],"")</f>
        <v>1602278</v>
      </c>
      <c r="R32" s="28">
        <v>1591938</v>
      </c>
      <c r="S32" s="46">
        <v>1591938</v>
      </c>
      <c r="T32" s="28" t="s">
        <v>240</v>
      </c>
      <c r="U32" s="28" t="s">
        <v>241</v>
      </c>
      <c r="V32" s="13" t="s">
        <v>242</v>
      </c>
      <c r="W32" s="12" t="b">
        <f>ISNUMBER(Table810[[#This Row],[EAR Total Capacity]])</f>
        <v>1</v>
      </c>
      <c r="X32" s="12" t="b">
        <f>IF(Table810[[#This Row],[Has  Storage for Full Averaging Period?]]="OK",TRUE,FALSE)</f>
        <v>1</v>
      </c>
      <c r="Y32" s="12" t="b">
        <f>IFERROR(IF(YEAR(Table810[[#This Row],[RISE Storage End Date]])=2025,TRUE,FALSE),FALSE)</f>
        <v>1</v>
      </c>
      <c r="Z32" s="11" t="b">
        <v>0</v>
      </c>
      <c r="AA32" s="13">
        <v>205</v>
      </c>
      <c r="AB32" s="13" t="s">
        <v>76</v>
      </c>
      <c r="AC32" s="13" t="s">
        <v>243</v>
      </c>
      <c r="AD32" s="13" t="s">
        <v>239</v>
      </c>
      <c r="AE32" s="13" t="s">
        <v>78</v>
      </c>
      <c r="AF32" s="13" t="s">
        <v>244</v>
      </c>
      <c r="AG32" s="13" t="s">
        <v>159</v>
      </c>
      <c r="AH32" s="13" t="s">
        <v>160</v>
      </c>
      <c r="AI32" s="13" t="s">
        <v>93</v>
      </c>
      <c r="AJ32" s="14">
        <v>1602278</v>
      </c>
      <c r="AK32" s="18"/>
      <c r="AL32" s="18"/>
      <c r="AM32" s="13" t="s">
        <v>245</v>
      </c>
      <c r="AN32" s="13" t="s">
        <v>246</v>
      </c>
      <c r="AO32" s="13" t="s">
        <v>239</v>
      </c>
      <c r="AP32" s="13" t="s">
        <v>247</v>
      </c>
      <c r="AQ32" s="21" t="s">
        <v>64</v>
      </c>
      <c r="AR32" s="26">
        <v>20829</v>
      </c>
      <c r="AS32" s="26">
        <v>46005</v>
      </c>
      <c r="AT32" s="25">
        <v>25173</v>
      </c>
      <c r="AU32" s="25" t="s">
        <v>65</v>
      </c>
      <c r="AV32" s="25" t="s">
        <v>65</v>
      </c>
      <c r="AW32" s="25" t="s">
        <v>65</v>
      </c>
      <c r="AX32" s="24"/>
    </row>
    <row r="33" spans="1:50" ht="16.5" customHeight="1">
      <c r="A33" s="36" t="s">
        <v>248</v>
      </c>
      <c r="B33" s="28" t="s">
        <v>68</v>
      </c>
      <c r="C33" s="28" t="s">
        <v>69</v>
      </c>
      <c r="D33" s="28"/>
      <c r="E33" s="28" t="s">
        <v>70</v>
      </c>
      <c r="F33" s="28">
        <v>3643</v>
      </c>
      <c r="G33" s="28">
        <v>3</v>
      </c>
      <c r="H33" s="28" t="str">
        <f>IF(ISNUMBER(Table810[[#This Row],[Total Capacity]]),"USBR Enterprise Asset Registry",IF(Table810[[#This Row],[Total Capacity]]="",""))</f>
        <v>USBR Enterprise Asset Registry</v>
      </c>
      <c r="I33" s="28" t="s">
        <v>71</v>
      </c>
      <c r="J33" s="28" t="s">
        <v>72</v>
      </c>
      <c r="K33" s="28"/>
      <c r="L33" s="50">
        <v>59212</v>
      </c>
      <c r="M33" s="48"/>
      <c r="N33" s="50">
        <v>59212</v>
      </c>
      <c r="O33" s="28"/>
      <c r="P33" s="37"/>
      <c r="Q33" s="28">
        <f>IF(OR(Table810[[#This Row],[Post-Review Decision]]="Include", Table810[[#This Row],[Post-Review Decision]]="Include if possible", Table810[[#This Row],[Post-Review Decision]]="Include (Omit % Avg if needed)",  Table810[[#This Row],[Post-Review Decision]]="Include (Omit % Avg)"),Table810[[#This Row],[EAR Total Capacity]],"")</f>
        <v>59212</v>
      </c>
      <c r="R33" s="28">
        <v>59212</v>
      </c>
      <c r="S33" s="46">
        <v>59212</v>
      </c>
      <c r="T33" s="28" t="s">
        <v>249</v>
      </c>
      <c r="U33" s="28" t="s">
        <v>250</v>
      </c>
      <c r="V33" s="13" t="s">
        <v>251</v>
      </c>
      <c r="W33" s="12" t="b">
        <f>ISNUMBER(Table810[[#This Row],[EAR Total Capacity]])</f>
        <v>1</v>
      </c>
      <c r="X33" s="12" t="s">
        <v>75</v>
      </c>
      <c r="Y33" s="12" t="b">
        <f>IFERROR(IF(YEAR(Table810[[#This Row],[RISE Storage End Date]])=2025,TRUE,FALSE),FALSE)</f>
        <v>0</v>
      </c>
      <c r="Z33" s="11" t="b">
        <v>0</v>
      </c>
      <c r="AA33" s="13">
        <v>26</v>
      </c>
      <c r="AB33" s="13" t="s">
        <v>76</v>
      </c>
      <c r="AC33" s="13" t="s">
        <v>252</v>
      </c>
      <c r="AD33" s="13" t="s">
        <v>248</v>
      </c>
      <c r="AE33" s="13" t="s">
        <v>78</v>
      </c>
      <c r="AF33" s="13" t="s">
        <v>253</v>
      </c>
      <c r="AG33" s="13" t="s">
        <v>80</v>
      </c>
      <c r="AH33" s="13" t="s">
        <v>81</v>
      </c>
      <c r="AI33" s="13" t="s">
        <v>93</v>
      </c>
      <c r="AJ33" s="19">
        <v>59212</v>
      </c>
      <c r="AK33" s="18"/>
      <c r="AL33" s="18"/>
      <c r="AM33" s="13" t="s">
        <v>254</v>
      </c>
      <c r="AN33" s="13" t="s">
        <v>84</v>
      </c>
      <c r="AO33" s="13" t="s">
        <v>248</v>
      </c>
      <c r="AP33" s="13" t="s">
        <v>255</v>
      </c>
      <c r="AQ33" s="21" t="s">
        <v>64</v>
      </c>
      <c r="AR33" s="25"/>
      <c r="AS33" s="25"/>
      <c r="AT33" s="25"/>
      <c r="AU33" s="25"/>
      <c r="AV33" s="25"/>
      <c r="AW33" s="25"/>
      <c r="AX33" s="24"/>
    </row>
    <row r="34" spans="1:50" ht="16.5" customHeight="1">
      <c r="A34" s="36" t="s">
        <v>256</v>
      </c>
      <c r="B34" s="28" t="s">
        <v>68</v>
      </c>
      <c r="C34" s="28" t="s">
        <v>86</v>
      </c>
      <c r="D34" s="28"/>
      <c r="E34" s="28" t="s">
        <v>70</v>
      </c>
      <c r="F34" s="28">
        <v>277</v>
      </c>
      <c r="G34" s="28">
        <v>3</v>
      </c>
      <c r="H34" s="28" t="str">
        <f>IF(ISNUMBER(Table810[[#This Row],[Total Capacity]]),"USBR Enterprise Asset Registry",IF(Table810[[#This Row],[Total Capacity]]="",""))</f>
        <v>USBR Enterprise Asset Registry</v>
      </c>
      <c r="I34" s="28" t="s">
        <v>257</v>
      </c>
      <c r="J34" s="28" t="s">
        <v>72</v>
      </c>
      <c r="K34" s="28"/>
      <c r="L34" s="50">
        <v>36700</v>
      </c>
      <c r="M34" s="49">
        <v>49631</v>
      </c>
      <c r="N34" s="50">
        <v>49631</v>
      </c>
      <c r="O34" s="28"/>
      <c r="P34" s="37"/>
      <c r="Q34" s="28">
        <f>IF(OR(Table810[[#This Row],[Post-Review Decision]]="Include", Table810[[#This Row],[Post-Review Decision]]="Include if possible", Table810[[#This Row],[Post-Review Decision]]="Include (Omit % Avg if needed)",  Table810[[#This Row],[Post-Review Decision]]="Include (Omit % Avg)"),Table810[[#This Row],[EAR Total Capacity]],"")</f>
        <v>38100</v>
      </c>
      <c r="R34" s="28">
        <v>38300</v>
      </c>
      <c r="S34" s="46">
        <v>36700</v>
      </c>
      <c r="T34" s="28" t="s">
        <v>256</v>
      </c>
      <c r="U34" s="28" t="s">
        <v>258</v>
      </c>
      <c r="V34" s="13" t="s">
        <v>259</v>
      </c>
      <c r="W34" s="12" t="b">
        <f>ISNUMBER(Table810[[#This Row],[EAR Total Capacity]])</f>
        <v>1</v>
      </c>
      <c r="X34" s="12" t="b">
        <f>IF(Table810[[#This Row],[Has  Storage for Full Averaging Period?]]="OK",TRUE,FALSE)</f>
        <v>1</v>
      </c>
      <c r="Y34" s="12" t="b">
        <f>IFERROR(IF(YEAR(Table810[[#This Row],[RISE Storage End Date]])=2025,TRUE,FALSE),FALSE)</f>
        <v>1</v>
      </c>
      <c r="Z34" s="11" t="b">
        <v>0</v>
      </c>
      <c r="AA34" s="13">
        <v>27</v>
      </c>
      <c r="AB34" s="13" t="s">
        <v>76</v>
      </c>
      <c r="AC34" s="13" t="s">
        <v>260</v>
      </c>
      <c r="AD34" s="13" t="s">
        <v>256</v>
      </c>
      <c r="AE34" s="13" t="s">
        <v>78</v>
      </c>
      <c r="AF34" s="13" t="s">
        <v>261</v>
      </c>
      <c r="AG34" s="13" t="s">
        <v>91</v>
      </c>
      <c r="AH34" s="13" t="s">
        <v>102</v>
      </c>
      <c r="AI34" s="13" t="s">
        <v>93</v>
      </c>
      <c r="AJ34" s="14">
        <v>38100</v>
      </c>
      <c r="AK34" s="18"/>
      <c r="AL34" s="18"/>
      <c r="AM34" s="13" t="s">
        <v>262</v>
      </c>
      <c r="AN34" s="13" t="s">
        <v>63</v>
      </c>
      <c r="AO34" s="13" t="s">
        <v>256</v>
      </c>
      <c r="AP34" s="13" t="s">
        <v>256</v>
      </c>
      <c r="AQ34" s="21" t="s">
        <v>64</v>
      </c>
      <c r="AR34" s="26">
        <v>25700</v>
      </c>
      <c r="AS34" s="26">
        <v>46007</v>
      </c>
      <c r="AT34" s="25">
        <v>20309</v>
      </c>
      <c r="AU34" s="25" t="s">
        <v>65</v>
      </c>
      <c r="AV34" s="25" t="s">
        <v>65</v>
      </c>
      <c r="AW34" s="25" t="s">
        <v>65</v>
      </c>
      <c r="AX34" s="24"/>
    </row>
    <row r="35" spans="1:50" ht="16.5" customHeight="1">
      <c r="A35" s="36" t="s">
        <v>263</v>
      </c>
      <c r="B35" s="28"/>
      <c r="C35" s="28" t="s">
        <v>97</v>
      </c>
      <c r="D35" s="28"/>
      <c r="E35" s="28"/>
      <c r="F35" s="28" t="s">
        <v>61</v>
      </c>
      <c r="G35" s="28"/>
      <c r="H35" s="28" t="str">
        <f>IF(ISNUMBER(Table810[[#This Row],[Total Capacity]]),"USBR Enterprise Asset Registry",IF(Table810[[#This Row],[Total Capacity]]="",""))</f>
        <v/>
      </c>
      <c r="I35" s="28"/>
      <c r="J35" s="28"/>
      <c r="K35" s="28"/>
      <c r="L35" s="50" t="s">
        <v>98</v>
      </c>
      <c r="M35" s="48"/>
      <c r="N35" s="50" t="s">
        <v>98</v>
      </c>
      <c r="O35" s="28"/>
      <c r="P35" s="37"/>
      <c r="Q35" s="28" t="str">
        <f>IF(OR(Table810[[#This Row],[Post-Review Decision]]="Include", Table810[[#This Row],[Post-Review Decision]]="Include if possible", Table810[[#This Row],[Post-Review Decision]]="Include (Omit % Avg if needed)",  Table810[[#This Row],[Post-Review Decision]]="Include (Omit % Avg)"),Table810[[#This Row],[EAR Total Capacity]],"")</f>
        <v/>
      </c>
      <c r="R35" s="28"/>
      <c r="S35" s="45">
        <v>0</v>
      </c>
      <c r="T35" s="28"/>
      <c r="U35" s="28"/>
      <c r="V35" s="13" t="s">
        <v>264</v>
      </c>
      <c r="W35" s="12" t="b">
        <f>ISNUMBER(Table810[[#This Row],[EAR Total Capacity]])</f>
        <v>0</v>
      </c>
      <c r="X35" s="12" t="b">
        <f>IF(Table810[[#This Row],[Has  Storage for Full Averaging Period?]]="OK",TRUE,FALSE)</f>
        <v>0</v>
      </c>
      <c r="Y35" s="12" t="b">
        <f>IFERROR(IF(YEAR(Table810[[#This Row],[RISE Storage End Date]])=2025,TRUE,FALSE),FALSE)</f>
        <v>0</v>
      </c>
      <c r="Z35" s="11" t="b">
        <v>0</v>
      </c>
      <c r="AA35" s="13">
        <v>28</v>
      </c>
      <c r="AB35" s="13" t="s">
        <v>76</v>
      </c>
      <c r="AC35" s="13" t="s">
        <v>265</v>
      </c>
      <c r="AD35" s="13" t="s">
        <v>263</v>
      </c>
      <c r="AE35" s="13" t="s">
        <v>101</v>
      </c>
      <c r="AF35" s="13" t="s">
        <v>266</v>
      </c>
      <c r="AG35" s="13" t="s">
        <v>91</v>
      </c>
      <c r="AH35" s="13" t="s">
        <v>92</v>
      </c>
      <c r="AI35" s="13" t="s">
        <v>103</v>
      </c>
      <c r="AJ35" s="14"/>
      <c r="AK35" s="15"/>
      <c r="AL35" s="15"/>
      <c r="AM35" s="15" t="s">
        <v>61</v>
      </c>
      <c r="AN35" s="15" t="s">
        <v>61</v>
      </c>
      <c r="AO35" s="15" t="s">
        <v>61</v>
      </c>
      <c r="AP35" s="15" t="s">
        <v>61</v>
      </c>
      <c r="AQ35" s="22"/>
      <c r="AR35" s="25"/>
      <c r="AS35" s="25"/>
      <c r="AT35" s="25"/>
      <c r="AU35" s="25"/>
      <c r="AV35" s="25"/>
      <c r="AW35" s="25"/>
      <c r="AX35" s="24"/>
    </row>
    <row r="36" spans="1:50" ht="16.5" customHeight="1">
      <c r="A36" s="36" t="s">
        <v>267</v>
      </c>
      <c r="B36" s="28" t="s">
        <v>68</v>
      </c>
      <c r="C36" s="28" t="s">
        <v>86</v>
      </c>
      <c r="D36" s="28"/>
      <c r="E36" s="28" t="s">
        <v>70</v>
      </c>
      <c r="F36" s="28">
        <v>275</v>
      </c>
      <c r="G36" s="28">
        <v>3</v>
      </c>
      <c r="H36" s="28" t="str">
        <f>IF(ISNUMBER(Table810[[#This Row],[Total Capacity]]),"USBR Enterprise Asset Registry",IF(Table810[[#This Row],[Total Capacity]]="",""))</f>
        <v>USBR Enterprise Asset Registry</v>
      </c>
      <c r="I36" s="28" t="s">
        <v>57</v>
      </c>
      <c r="J36" s="28" t="s">
        <v>127</v>
      </c>
      <c r="K36" s="33">
        <v>252630</v>
      </c>
      <c r="L36" s="50">
        <v>1011052</v>
      </c>
      <c r="M36" s="48"/>
      <c r="N36" s="50">
        <v>1011052</v>
      </c>
      <c r="O36" s="28"/>
      <c r="P36" s="37"/>
      <c r="Q36" s="28">
        <f>IF(OR(Table810[[#This Row],[Post-Review Decision]]="Include", Table810[[#This Row],[Post-Review Decision]]="Include if possible", Table810[[#This Row],[Post-Review Decision]]="Include (Omit % Avg if needed)",  Table810[[#This Row],[Post-Review Decision]]="Include (Omit % Avg)"),Table810[[#This Row],[EAR Total Capacity]],"")</f>
        <v>1263682</v>
      </c>
      <c r="R36" s="28">
        <v>796209</v>
      </c>
      <c r="S36" s="46">
        <v>1245327</v>
      </c>
      <c r="T36" s="28" t="s">
        <v>268</v>
      </c>
      <c r="U36" s="28" t="s">
        <v>269</v>
      </c>
      <c r="V36" s="13" t="s">
        <v>270</v>
      </c>
      <c r="W36" s="12" t="b">
        <f>ISNUMBER(Table810[[#This Row],[EAR Total Capacity]])</f>
        <v>1</v>
      </c>
      <c r="X36" s="12" t="b">
        <f>IF(Table810[[#This Row],[Has  Storage for Full Averaging Period?]]="OK",TRUE,FALSE)</f>
        <v>1</v>
      </c>
      <c r="Y36" s="12" t="b">
        <f>IFERROR(IF(YEAR(Table810[[#This Row],[RISE Storage End Date]])=2025,TRUE,FALSE),FALSE)</f>
        <v>1</v>
      </c>
      <c r="Z36" s="11" t="b">
        <v>0</v>
      </c>
      <c r="AA36" s="13">
        <v>29</v>
      </c>
      <c r="AB36" s="13" t="s">
        <v>76</v>
      </c>
      <c r="AC36" s="13" t="s">
        <v>271</v>
      </c>
      <c r="AD36" s="13" t="s">
        <v>267</v>
      </c>
      <c r="AE36" s="13" t="s">
        <v>78</v>
      </c>
      <c r="AF36" s="13" t="s">
        <v>272</v>
      </c>
      <c r="AG36" s="13" t="s">
        <v>109</v>
      </c>
      <c r="AH36" s="13" t="s">
        <v>92</v>
      </c>
      <c r="AI36" s="13" t="s">
        <v>93</v>
      </c>
      <c r="AJ36" s="14">
        <v>1263682</v>
      </c>
      <c r="AK36" s="18"/>
      <c r="AL36" s="18"/>
      <c r="AM36" s="13" t="s">
        <v>273</v>
      </c>
      <c r="AN36" s="13" t="s">
        <v>95</v>
      </c>
      <c r="AO36" s="13" t="s">
        <v>267</v>
      </c>
      <c r="AP36" s="13" t="s">
        <v>267</v>
      </c>
      <c r="AQ36" s="21" t="s">
        <v>64</v>
      </c>
      <c r="AR36" s="26">
        <v>24016</v>
      </c>
      <c r="AS36" s="26">
        <v>46007</v>
      </c>
      <c r="AT36" s="25">
        <v>22115</v>
      </c>
      <c r="AU36" s="25" t="s">
        <v>65</v>
      </c>
      <c r="AV36" s="25" t="s">
        <v>65</v>
      </c>
      <c r="AW36" s="25" t="s">
        <v>65</v>
      </c>
      <c r="AX36" s="24"/>
    </row>
    <row r="37" spans="1:50" ht="16.5" customHeight="1">
      <c r="A37" s="36" t="s">
        <v>274</v>
      </c>
      <c r="B37" s="28"/>
      <c r="C37" s="28" t="s">
        <v>97</v>
      </c>
      <c r="D37" s="28"/>
      <c r="E37" s="28"/>
      <c r="F37" s="28">
        <v>276</v>
      </c>
      <c r="G37" s="28"/>
      <c r="H37" s="28" t="str">
        <f>IF(ISNUMBER(Table810[[#This Row],[Total Capacity]]),"USBR Enterprise Asset Registry",IF(Table810[[#This Row],[Total Capacity]]="",""))</f>
        <v/>
      </c>
      <c r="I37" s="28"/>
      <c r="J37" s="28"/>
      <c r="K37" s="28"/>
      <c r="L37" s="50" t="s">
        <v>98</v>
      </c>
      <c r="M37" s="48"/>
      <c r="N37" s="50" t="s">
        <v>98</v>
      </c>
      <c r="O37" s="28"/>
      <c r="P37" s="37"/>
      <c r="Q37" s="28" t="str">
        <f>IF(OR(Table810[[#This Row],[Post-Review Decision]]="Include", Table810[[#This Row],[Post-Review Decision]]="Include if possible", Table810[[#This Row],[Post-Review Decision]]="Include (Omit % Avg if needed)",  Table810[[#This Row],[Post-Review Decision]]="Include (Omit % Avg)"),Table810[[#This Row],[EAR Total Capacity]],"")</f>
        <v/>
      </c>
      <c r="R37" s="28"/>
      <c r="S37" s="45" t="s">
        <v>59</v>
      </c>
      <c r="T37" s="28"/>
      <c r="U37" s="28"/>
      <c r="V37" s="17" t="s">
        <v>61</v>
      </c>
      <c r="W37" s="12" t="b">
        <f>ISNUMBER(Table810[[#This Row],[EAR Total Capacity]])</f>
        <v>0</v>
      </c>
      <c r="X37" s="12" t="b">
        <f>IF(Table810[[#This Row],[Has  Storage for Full Averaging Period?]]="OK",TRUE,FALSE)</f>
        <v>1</v>
      </c>
      <c r="Y37" s="12" t="b">
        <f>IFERROR(IF(YEAR(Table810[[#This Row],[RISE Storage End Date]])=2025,TRUE,FALSE),FALSE)</f>
        <v>1</v>
      </c>
      <c r="Z37" s="11" t="b">
        <v>0</v>
      </c>
      <c r="AA37" s="16" t="s">
        <v>61</v>
      </c>
      <c r="AB37" s="17" t="s">
        <v>61</v>
      </c>
      <c r="AC37" s="17" t="s">
        <v>61</v>
      </c>
      <c r="AD37" s="17" t="s">
        <v>61</v>
      </c>
      <c r="AE37" s="17" t="s">
        <v>61</v>
      </c>
      <c r="AF37" s="17" t="s">
        <v>61</v>
      </c>
      <c r="AG37" s="17" t="s">
        <v>61</v>
      </c>
      <c r="AH37" s="17" t="s">
        <v>61</v>
      </c>
      <c r="AI37" s="17" t="s">
        <v>61</v>
      </c>
      <c r="AJ37" s="17" t="s">
        <v>61</v>
      </c>
      <c r="AK37" s="18"/>
      <c r="AL37" s="18"/>
      <c r="AM37" s="13" t="s">
        <v>274</v>
      </c>
      <c r="AN37" s="11" t="s">
        <v>95</v>
      </c>
      <c r="AO37" s="11" t="s">
        <v>275</v>
      </c>
      <c r="AP37" s="11" t="e">
        <v>#N/A</v>
      </c>
      <c r="AQ37" s="21" t="s">
        <v>64</v>
      </c>
      <c r="AR37" s="26">
        <v>31321</v>
      </c>
      <c r="AS37" s="26">
        <v>46007</v>
      </c>
      <c r="AT37" s="25">
        <v>14686</v>
      </c>
      <c r="AU37" s="25" t="s">
        <v>65</v>
      </c>
      <c r="AV37" s="25" t="s">
        <v>65</v>
      </c>
      <c r="AW37" s="25" t="s">
        <v>65</v>
      </c>
      <c r="AX37" s="23"/>
    </row>
    <row r="38" spans="1:50" ht="16.5" customHeight="1">
      <c r="A38" s="36" t="s">
        <v>276</v>
      </c>
      <c r="B38" s="28" t="s">
        <v>68</v>
      </c>
      <c r="C38" s="28" t="s">
        <v>69</v>
      </c>
      <c r="D38" s="28"/>
      <c r="E38" s="28" t="s">
        <v>70</v>
      </c>
      <c r="F38" s="28">
        <v>7168</v>
      </c>
      <c r="G38" s="28">
        <v>3</v>
      </c>
      <c r="H38" s="28" t="str">
        <f>IF(ISNUMBER(Table810[[#This Row],[Total Capacity]]),"USBR Enterprise Asset Registry",IF(Table810[[#This Row],[Total Capacity]]="",""))</f>
        <v>USBR Enterprise Asset Registry</v>
      </c>
      <c r="I38" s="28" t="s">
        <v>71</v>
      </c>
      <c r="J38" s="28" t="s">
        <v>72</v>
      </c>
      <c r="K38" s="28"/>
      <c r="L38" s="50">
        <v>21200</v>
      </c>
      <c r="M38" s="48"/>
      <c r="N38" s="50">
        <v>21200</v>
      </c>
      <c r="O38" s="28"/>
      <c r="P38" s="37"/>
      <c r="Q38" s="28">
        <f>IF(OR(Table810[[#This Row],[Post-Review Decision]]="Include", Table810[[#This Row],[Post-Review Decision]]="Include if possible", Table810[[#This Row],[Post-Review Decision]]="Include (Omit % Avg if needed)",  Table810[[#This Row],[Post-Review Decision]]="Include (Omit % Avg)"),Table810[[#This Row],[EAR Total Capacity]],"")</f>
        <v>64200</v>
      </c>
      <c r="R38" s="28">
        <v>21200</v>
      </c>
      <c r="S38" s="46">
        <v>62300</v>
      </c>
      <c r="T38" s="28" t="s">
        <v>277</v>
      </c>
      <c r="U38" s="28" t="s">
        <v>278</v>
      </c>
      <c r="V38" s="13" t="s">
        <v>206</v>
      </c>
      <c r="W38" s="12" t="b">
        <f>ISNUMBER(Table810[[#This Row],[EAR Total Capacity]])</f>
        <v>1</v>
      </c>
      <c r="X38" s="12" t="s">
        <v>75</v>
      </c>
      <c r="Y38" s="12" t="b">
        <f>IFERROR(IF(YEAR(Table810[[#This Row],[RISE Storage End Date]])=2025,TRUE,FALSE),FALSE)</f>
        <v>0</v>
      </c>
      <c r="Z38" s="11" t="b">
        <v>0</v>
      </c>
      <c r="AA38" s="13">
        <v>30</v>
      </c>
      <c r="AB38" s="13" t="s">
        <v>76</v>
      </c>
      <c r="AC38" s="13" t="s">
        <v>279</v>
      </c>
      <c r="AD38" s="13" t="s">
        <v>276</v>
      </c>
      <c r="AE38" s="13" t="s">
        <v>78</v>
      </c>
      <c r="AF38" s="13" t="s">
        <v>280</v>
      </c>
      <c r="AG38" s="13" t="s">
        <v>80</v>
      </c>
      <c r="AH38" s="13" t="s">
        <v>81</v>
      </c>
      <c r="AI38" s="13" t="s">
        <v>82</v>
      </c>
      <c r="AJ38" s="19">
        <v>64200</v>
      </c>
      <c r="AK38" s="18"/>
      <c r="AL38" s="18"/>
      <c r="AM38" s="13" t="s">
        <v>281</v>
      </c>
      <c r="AN38" s="13" t="s">
        <v>84</v>
      </c>
      <c r="AO38" s="13" t="s">
        <v>276</v>
      </c>
      <c r="AP38" s="13" t="s">
        <v>282</v>
      </c>
      <c r="AQ38" s="21" t="s">
        <v>64</v>
      </c>
      <c r="AR38" s="25"/>
      <c r="AS38" s="25"/>
      <c r="AT38" s="25"/>
      <c r="AU38" s="25"/>
      <c r="AV38" s="25"/>
      <c r="AW38" s="25"/>
      <c r="AX38" s="24"/>
    </row>
    <row r="39" spans="1:50" ht="16.5" customHeight="1">
      <c r="A39" s="36" t="s">
        <v>283</v>
      </c>
      <c r="B39" s="28" t="s">
        <v>68</v>
      </c>
      <c r="C39" s="28" t="s">
        <v>97</v>
      </c>
      <c r="D39" s="28"/>
      <c r="E39" s="28" t="s">
        <v>70</v>
      </c>
      <c r="F39" s="28">
        <v>7175</v>
      </c>
      <c r="G39" s="28" t="s">
        <v>284</v>
      </c>
      <c r="H39" s="28" t="str">
        <f>IF(ISNUMBER(Table810[[#This Row],[Total Capacity]]),"USBR Enterprise Asset Registry",IF(Table810[[#This Row],[Total Capacity]]="",""))</f>
        <v/>
      </c>
      <c r="I39" s="28" t="s">
        <v>71</v>
      </c>
      <c r="J39" s="28" t="s">
        <v>72</v>
      </c>
      <c r="K39" s="28"/>
      <c r="L39" s="50" t="s">
        <v>285</v>
      </c>
      <c r="M39" s="48"/>
      <c r="N39" s="50" t="s">
        <v>285</v>
      </c>
      <c r="O39" s="28"/>
      <c r="P39" s="37"/>
      <c r="Q39" s="28" t="str">
        <f>IF(OR(Table810[[#This Row],[Post-Review Decision]]="Include", Table810[[#This Row],[Post-Review Decision]]="Include if possible", Table810[[#This Row],[Post-Review Decision]]="Include (Omit % Avg if needed)",  Table810[[#This Row],[Post-Review Decision]]="Include (Omit % Avg)"),Table810[[#This Row],[EAR Total Capacity]],"")</f>
        <v/>
      </c>
      <c r="R39" s="28"/>
      <c r="S39" s="45">
        <v>0</v>
      </c>
      <c r="T39" s="28" t="s">
        <v>286</v>
      </c>
      <c r="U39" s="28" t="s">
        <v>287</v>
      </c>
      <c r="V39" s="13" t="s">
        <v>288</v>
      </c>
      <c r="W39" s="12" t="b">
        <f>ISNUMBER(Table810[[#This Row],[EAR Total Capacity]])</f>
        <v>1</v>
      </c>
      <c r="X39" s="12" t="s">
        <v>75</v>
      </c>
      <c r="Y39" s="12" t="b">
        <f>IFERROR(IF(YEAR(Table810[[#This Row],[RISE Storage End Date]])=2025,TRUE,FALSE),FALSE)</f>
        <v>0</v>
      </c>
      <c r="Z39" s="11" t="b">
        <v>0</v>
      </c>
      <c r="AA39" s="13">
        <v>31</v>
      </c>
      <c r="AB39" s="13" t="s">
        <v>76</v>
      </c>
      <c r="AC39" s="13" t="s">
        <v>289</v>
      </c>
      <c r="AD39" s="13" t="s">
        <v>283</v>
      </c>
      <c r="AE39" s="13" t="s">
        <v>78</v>
      </c>
      <c r="AF39" s="13" t="s">
        <v>290</v>
      </c>
      <c r="AG39" s="13" t="s">
        <v>80</v>
      </c>
      <c r="AH39" s="13" t="s">
        <v>81</v>
      </c>
      <c r="AI39" s="13" t="s">
        <v>103</v>
      </c>
      <c r="AJ39" s="19">
        <v>29822</v>
      </c>
      <c r="AK39" s="18"/>
      <c r="AL39" s="18"/>
      <c r="AM39" s="13" t="s">
        <v>291</v>
      </c>
      <c r="AN39" s="13" t="s">
        <v>84</v>
      </c>
      <c r="AO39" s="13" t="s">
        <v>283</v>
      </c>
      <c r="AP39" s="13" t="s">
        <v>283</v>
      </c>
      <c r="AQ39" s="21" t="s">
        <v>64</v>
      </c>
      <c r="AR39" s="25"/>
      <c r="AS39" s="25"/>
      <c r="AT39" s="25"/>
      <c r="AU39" s="25"/>
      <c r="AV39" s="25"/>
      <c r="AW39" s="25"/>
      <c r="AX39" s="24"/>
    </row>
    <row r="40" spans="1:50" ht="16.5" customHeight="1">
      <c r="A40" s="36" t="s">
        <v>292</v>
      </c>
      <c r="B40" s="28"/>
      <c r="C40" s="28" t="s">
        <v>97</v>
      </c>
      <c r="D40" s="28"/>
      <c r="E40" s="28"/>
      <c r="F40" s="28" t="s">
        <v>61</v>
      </c>
      <c r="G40" s="28"/>
      <c r="H40" s="28" t="str">
        <f>IF(ISNUMBER(Table810[[#This Row],[Total Capacity]]),"USBR Enterprise Asset Registry",IF(Table810[[#This Row],[Total Capacity]]="",""))</f>
        <v/>
      </c>
      <c r="I40" s="28"/>
      <c r="J40" s="28"/>
      <c r="K40" s="28"/>
      <c r="L40" s="50" t="s">
        <v>98</v>
      </c>
      <c r="M40" s="48"/>
      <c r="N40" s="50" t="s">
        <v>98</v>
      </c>
      <c r="O40" s="28"/>
      <c r="P40" s="37"/>
      <c r="Q40" s="28" t="str">
        <f>IF(OR(Table810[[#This Row],[Post-Review Decision]]="Include", Table810[[#This Row],[Post-Review Decision]]="Include if possible", Table810[[#This Row],[Post-Review Decision]]="Include (Omit % Avg if needed)",  Table810[[#This Row],[Post-Review Decision]]="Include (Omit % Avg)"),Table810[[#This Row],[EAR Total Capacity]],"")</f>
        <v/>
      </c>
      <c r="R40" s="28"/>
      <c r="S40" s="45">
        <v>0</v>
      </c>
      <c r="T40" s="28"/>
      <c r="U40" s="28"/>
      <c r="V40" s="13" t="s">
        <v>293</v>
      </c>
      <c r="W40" s="12" t="b">
        <f>ISNUMBER(Table810[[#This Row],[EAR Total Capacity]])</f>
        <v>0</v>
      </c>
      <c r="X40" s="12" t="b">
        <f>IF(Table810[[#This Row],[Has  Storage for Full Averaging Period?]]="OK",TRUE,FALSE)</f>
        <v>0</v>
      </c>
      <c r="Y40" s="12" t="b">
        <f>IFERROR(IF(YEAR(Table810[[#This Row],[RISE Storage End Date]])=2025,TRUE,FALSE),FALSE)</f>
        <v>0</v>
      </c>
      <c r="Z40" s="11" t="b">
        <v>0</v>
      </c>
      <c r="AA40" s="13">
        <v>32</v>
      </c>
      <c r="AB40" s="13" t="s">
        <v>76</v>
      </c>
      <c r="AC40" s="13" t="s">
        <v>294</v>
      </c>
      <c r="AD40" s="13" t="s">
        <v>292</v>
      </c>
      <c r="AE40" s="13" t="s">
        <v>101</v>
      </c>
      <c r="AF40" s="13" t="s">
        <v>295</v>
      </c>
      <c r="AG40" s="13" t="s">
        <v>91</v>
      </c>
      <c r="AH40" s="13" t="s">
        <v>102</v>
      </c>
      <c r="AI40" s="13" t="s">
        <v>103</v>
      </c>
      <c r="AJ40" s="14"/>
      <c r="AK40" s="15"/>
      <c r="AL40" s="15"/>
      <c r="AM40" s="15" t="s">
        <v>61</v>
      </c>
      <c r="AN40" s="15" t="s">
        <v>61</v>
      </c>
      <c r="AO40" s="15" t="s">
        <v>61</v>
      </c>
      <c r="AP40" s="15" t="s">
        <v>61</v>
      </c>
      <c r="AQ40" s="22"/>
      <c r="AR40" s="25"/>
      <c r="AS40" s="25"/>
      <c r="AT40" s="25"/>
      <c r="AU40" s="25"/>
      <c r="AV40" s="25"/>
      <c r="AW40" s="25"/>
      <c r="AX40" s="24"/>
    </row>
    <row r="41" spans="1:50" ht="16.5" customHeight="1">
      <c r="A41" s="36" t="s">
        <v>296</v>
      </c>
      <c r="B41" s="28" t="s">
        <v>68</v>
      </c>
      <c r="C41" s="28" t="s">
        <v>86</v>
      </c>
      <c r="D41" s="28"/>
      <c r="E41" s="28" t="s">
        <v>70</v>
      </c>
      <c r="F41" s="28">
        <v>1533</v>
      </c>
      <c r="G41" s="28">
        <v>3</v>
      </c>
      <c r="H41" s="28" t="str">
        <f>IF(ISNUMBER(Table810[[#This Row],[Total Capacity]]),"USBR Enterprise Asset Registry",IF(Table810[[#This Row],[Total Capacity]]="",""))</f>
        <v>USBR Enterprise Asset Registry</v>
      </c>
      <c r="I41" s="28" t="s">
        <v>257</v>
      </c>
      <c r="J41" s="28" t="s">
        <v>72</v>
      </c>
      <c r="K41" s="28"/>
      <c r="L41" s="50">
        <v>827269</v>
      </c>
      <c r="M41" s="48">
        <v>938141</v>
      </c>
      <c r="N41" s="50">
        <v>938141</v>
      </c>
      <c r="O41" s="28"/>
      <c r="P41" s="37"/>
      <c r="Q41" s="28">
        <f>IF(OR(Table810[[#This Row],[Post-Review Decision]]="Include", Table810[[#This Row],[Post-Review Decision]]="Include if possible", Table810[[#This Row],[Post-Review Decision]]="Include (Omit % Avg if needed)",  Table810[[#This Row],[Post-Review Decision]]="Include (Omit % Avg)"),Table810[[#This Row],[EAR Total Capacity]],"")</f>
        <v>938469</v>
      </c>
      <c r="R41" s="28">
        <v>748430</v>
      </c>
      <c r="S41" s="46">
        <v>827269</v>
      </c>
      <c r="T41" s="28" t="s">
        <v>296</v>
      </c>
      <c r="U41" s="28" t="s">
        <v>297</v>
      </c>
      <c r="V41" s="13" t="s">
        <v>298</v>
      </c>
      <c r="W41" s="12" t="b">
        <f>ISNUMBER(Table810[[#This Row],[EAR Total Capacity]])</f>
        <v>1</v>
      </c>
      <c r="X41" s="12" t="b">
        <f>IF(Table810[[#This Row],[Has  Storage for Full Averaging Period?]]="OK",TRUE,FALSE)</f>
        <v>1</v>
      </c>
      <c r="Y41" s="12" t="b">
        <f>IFERROR(IF(YEAR(Table810[[#This Row],[RISE Storage End Date]])=2025,TRUE,FALSE),FALSE)</f>
        <v>1</v>
      </c>
      <c r="Z41" s="11" t="b">
        <v>0</v>
      </c>
      <c r="AA41" s="13">
        <v>33</v>
      </c>
      <c r="AB41" s="13" t="s">
        <v>76</v>
      </c>
      <c r="AC41" s="13" t="s">
        <v>299</v>
      </c>
      <c r="AD41" s="13" t="s">
        <v>296</v>
      </c>
      <c r="AE41" s="13" t="s">
        <v>78</v>
      </c>
      <c r="AF41" s="13" t="s">
        <v>300</v>
      </c>
      <c r="AG41" s="13" t="s">
        <v>91</v>
      </c>
      <c r="AH41" s="13" t="s">
        <v>102</v>
      </c>
      <c r="AI41" s="13" t="s">
        <v>93</v>
      </c>
      <c r="AJ41" s="14">
        <v>938469</v>
      </c>
      <c r="AK41" s="18"/>
      <c r="AL41" s="18"/>
      <c r="AM41" s="13" t="s">
        <v>301</v>
      </c>
      <c r="AN41" s="13" t="s">
        <v>63</v>
      </c>
      <c r="AO41" s="13" t="s">
        <v>296</v>
      </c>
      <c r="AP41" s="13" t="s">
        <v>296</v>
      </c>
      <c r="AQ41" s="21" t="s">
        <v>64</v>
      </c>
      <c r="AR41" s="26">
        <v>24138</v>
      </c>
      <c r="AS41" s="26">
        <v>46007</v>
      </c>
      <c r="AT41" s="25">
        <v>21871</v>
      </c>
      <c r="AU41" s="25" t="s">
        <v>65</v>
      </c>
      <c r="AV41" s="25" t="s">
        <v>65</v>
      </c>
      <c r="AW41" s="25" t="s">
        <v>65</v>
      </c>
      <c r="AX41" s="24"/>
    </row>
    <row r="42" spans="1:50" ht="16.5" customHeight="1">
      <c r="A42" s="36" t="s">
        <v>302</v>
      </c>
      <c r="B42" s="28" t="s">
        <v>68</v>
      </c>
      <c r="C42" s="28" t="s">
        <v>52</v>
      </c>
      <c r="D42" s="28" t="s">
        <v>303</v>
      </c>
      <c r="E42" s="28" t="s">
        <v>304</v>
      </c>
      <c r="F42" s="28" t="s">
        <v>61</v>
      </c>
      <c r="G42" s="28" t="s">
        <v>55</v>
      </c>
      <c r="H42" s="28" t="str">
        <f>IF(ISNUMBER(Table810[[#This Row],[Total Capacity]]),"USBR Enterprise Asset Registry",IF(Table810[[#This Row],[Total Capacity]]="",""))</f>
        <v>USBR Enterprise Asset Registry</v>
      </c>
      <c r="I42" s="28" t="s">
        <v>57</v>
      </c>
      <c r="J42" s="28" t="s">
        <v>72</v>
      </c>
      <c r="K42" s="28"/>
      <c r="L42" s="50">
        <v>41110</v>
      </c>
      <c r="M42" s="48"/>
      <c r="N42" s="50">
        <v>41110</v>
      </c>
      <c r="O42" s="28"/>
      <c r="P42" s="37" t="s">
        <v>305</v>
      </c>
      <c r="Q42" s="28">
        <f>IF(OR(Table810[[#This Row],[Post-Review Decision]]="Include", Table810[[#This Row],[Post-Review Decision]]="Include if possible", Table810[[#This Row],[Post-Review Decision]]="Include (Omit % Avg if needed)",  Table810[[#This Row],[Post-Review Decision]]="Include (Omit % Avg)"),Table810[[#This Row],[EAR Total Capacity]],"")</f>
        <v>41110</v>
      </c>
      <c r="R42" s="28">
        <v>40870</v>
      </c>
      <c r="S42" s="46">
        <v>40870</v>
      </c>
      <c r="T42" s="28" t="s">
        <v>302</v>
      </c>
      <c r="U42" s="28" t="s">
        <v>306</v>
      </c>
      <c r="V42" s="13" t="s">
        <v>307</v>
      </c>
      <c r="W42" s="12" t="b">
        <f>ISNUMBER(Table810[[#This Row],[EAR Total Capacity]])</f>
        <v>1</v>
      </c>
      <c r="X42" s="12" t="b">
        <f>IF(Table810[[#This Row],[Has  Storage for Full Averaging Period?]]="OK",TRUE,FALSE)</f>
        <v>0</v>
      </c>
      <c r="Y42" s="12" t="b">
        <f>IFERROR(IF(YEAR(Table810[[#This Row],[RISE Storage End Date]])=2025,TRUE,FALSE),FALSE)</f>
        <v>0</v>
      </c>
      <c r="Z42" s="11" t="b">
        <v>0</v>
      </c>
      <c r="AA42" s="13">
        <v>34</v>
      </c>
      <c r="AB42" s="13" t="s">
        <v>76</v>
      </c>
      <c r="AC42" s="13" t="s">
        <v>308</v>
      </c>
      <c r="AD42" s="13" t="s">
        <v>302</v>
      </c>
      <c r="AE42" s="13" t="s">
        <v>78</v>
      </c>
      <c r="AF42" s="13" t="s">
        <v>309</v>
      </c>
      <c r="AG42" s="13" t="s">
        <v>159</v>
      </c>
      <c r="AH42" s="13" t="s">
        <v>160</v>
      </c>
      <c r="AI42" s="13" t="s">
        <v>93</v>
      </c>
      <c r="AJ42" s="14">
        <v>41110</v>
      </c>
      <c r="AK42" s="15">
        <v>-120.0955</v>
      </c>
      <c r="AL42" s="15">
        <v>39.390099999999997</v>
      </c>
      <c r="AM42" s="15" t="s">
        <v>61</v>
      </c>
      <c r="AN42" s="15" t="s">
        <v>61</v>
      </c>
      <c r="AO42" s="15" t="s">
        <v>61</v>
      </c>
      <c r="AP42" s="15" t="s">
        <v>61</v>
      </c>
      <c r="AQ42" s="21" t="s">
        <v>136</v>
      </c>
      <c r="AR42" s="25"/>
      <c r="AS42" s="25"/>
      <c r="AT42" s="25"/>
      <c r="AU42" s="25"/>
      <c r="AV42" s="25"/>
      <c r="AW42" s="25"/>
      <c r="AX42" s="24" t="s">
        <v>304</v>
      </c>
    </row>
    <row r="43" spans="1:50" ht="16.5" customHeight="1">
      <c r="A43" s="36" t="s">
        <v>310</v>
      </c>
      <c r="B43" s="28"/>
      <c r="C43" s="28" t="s">
        <v>97</v>
      </c>
      <c r="D43" s="28"/>
      <c r="E43" s="28"/>
      <c r="F43" s="28" t="s">
        <v>61</v>
      </c>
      <c r="G43" s="28"/>
      <c r="H43" s="28" t="str">
        <f>IF(ISNUMBER(Table810[[#This Row],[Total Capacity]]),"USBR Enterprise Asset Registry",IF(Table810[[#This Row],[Total Capacity]]="",""))</f>
        <v/>
      </c>
      <c r="I43" s="28"/>
      <c r="J43" s="28"/>
      <c r="K43" s="28"/>
      <c r="L43" s="50" t="s">
        <v>98</v>
      </c>
      <c r="M43" s="48"/>
      <c r="N43" s="50" t="s">
        <v>98</v>
      </c>
      <c r="O43" s="28"/>
      <c r="P43" s="37"/>
      <c r="Q43" s="28" t="str">
        <f>IF(OR(Table810[[#This Row],[Post-Review Decision]]="Include", Table810[[#This Row],[Post-Review Decision]]="Include if possible", Table810[[#This Row],[Post-Review Decision]]="Include (Omit % Avg if needed)",  Table810[[#This Row],[Post-Review Decision]]="Include (Omit % Avg)"),Table810[[#This Row],[EAR Total Capacity]],"")</f>
        <v/>
      </c>
      <c r="R43" s="28">
        <v>815</v>
      </c>
      <c r="S43" s="45">
        <v>0</v>
      </c>
      <c r="T43" s="28"/>
      <c r="U43" s="28"/>
      <c r="V43" s="13" t="s">
        <v>151</v>
      </c>
      <c r="W43" s="12" t="b">
        <f>ISNUMBER(Table810[[#This Row],[EAR Total Capacity]])</f>
        <v>1</v>
      </c>
      <c r="X43" s="12" t="b">
        <f>IF(Table810[[#This Row],[Has  Storage for Full Averaging Period?]]="OK",TRUE,FALSE)</f>
        <v>0</v>
      </c>
      <c r="Y43" s="12" t="b">
        <f>IFERROR(IF(YEAR(Table810[[#This Row],[RISE Storage End Date]])=2025,TRUE,FALSE),FALSE)</f>
        <v>0</v>
      </c>
      <c r="Z43" s="11" t="b">
        <v>0</v>
      </c>
      <c r="AA43" s="13">
        <v>35</v>
      </c>
      <c r="AB43" s="13" t="s">
        <v>76</v>
      </c>
      <c r="AC43" s="13" t="s">
        <v>311</v>
      </c>
      <c r="AD43" s="13" t="s">
        <v>310</v>
      </c>
      <c r="AE43" s="13" t="s">
        <v>78</v>
      </c>
      <c r="AF43" s="13" t="s">
        <v>312</v>
      </c>
      <c r="AG43" s="13" t="s">
        <v>80</v>
      </c>
      <c r="AH43" s="13" t="s">
        <v>81</v>
      </c>
      <c r="AI43" s="13" t="s">
        <v>103</v>
      </c>
      <c r="AJ43" s="14">
        <v>815</v>
      </c>
      <c r="AK43" s="15"/>
      <c r="AL43" s="15"/>
      <c r="AM43" s="15" t="s">
        <v>61</v>
      </c>
      <c r="AN43" s="15" t="s">
        <v>61</v>
      </c>
      <c r="AO43" s="15" t="s">
        <v>61</v>
      </c>
      <c r="AP43" s="15" t="s">
        <v>61</v>
      </c>
      <c r="AQ43" s="21" t="s">
        <v>136</v>
      </c>
      <c r="AR43" s="25"/>
      <c r="AS43" s="25"/>
      <c r="AT43" s="25"/>
      <c r="AU43" s="25"/>
      <c r="AV43" s="25"/>
      <c r="AW43" s="25"/>
      <c r="AX43" s="24"/>
    </row>
    <row r="44" spans="1:50" ht="16.5" customHeight="1">
      <c r="A44" s="36" t="s">
        <v>313</v>
      </c>
      <c r="B44" s="28"/>
      <c r="C44" s="29" t="s">
        <v>97</v>
      </c>
      <c r="D44" s="28" t="s">
        <v>314</v>
      </c>
      <c r="E44" s="28"/>
      <c r="F44" s="28">
        <v>3644</v>
      </c>
      <c r="G44" s="28"/>
      <c r="H44" s="28" t="str">
        <f>IF(ISNUMBER(Table810[[#This Row],[Total Capacity]]),"USBR Enterprise Asset Registry",IF(Table810[[#This Row],[Total Capacity]]="",""))</f>
        <v/>
      </c>
      <c r="I44" s="28" t="s">
        <v>57</v>
      </c>
      <c r="J44" s="28" t="s">
        <v>127</v>
      </c>
      <c r="K44" s="28">
        <v>128820</v>
      </c>
      <c r="L44" s="50">
        <v>36508</v>
      </c>
      <c r="M44" s="48"/>
      <c r="N44" s="50">
        <v>36508</v>
      </c>
      <c r="O44" s="28"/>
      <c r="P44" s="38" t="s">
        <v>315</v>
      </c>
      <c r="Q44" s="28" t="str">
        <f>IF(OR(Table810[[#This Row],[Post-Review Decision]]="Include", Table810[[#This Row],[Post-Review Decision]]="Include if possible", Table810[[#This Row],[Post-Review Decision]]="Include (Omit % Avg if needed)",  Table810[[#This Row],[Post-Review Decision]]="Include (Omit % Avg)"),Table810[[#This Row],[EAR Total Capacity]],"")</f>
        <v/>
      </c>
      <c r="R44" s="28">
        <v>36508</v>
      </c>
      <c r="S44" s="46">
        <v>165328</v>
      </c>
      <c r="T44" s="28"/>
      <c r="U44" s="28"/>
      <c r="V44" s="13" t="s">
        <v>316</v>
      </c>
      <c r="W44" s="12" t="b">
        <f>ISNUMBER(Table810[[#This Row],[EAR Total Capacity]])</f>
        <v>1</v>
      </c>
      <c r="X44" s="12" t="b">
        <f>IF(Table810[[#This Row],[Has  Storage for Full Averaging Period?]]="OK",TRUE,FALSE)</f>
        <v>0</v>
      </c>
      <c r="Y44" s="12" t="b">
        <f>IFERROR(IF(YEAR(Table810[[#This Row],[RISE Storage End Date]])=2025,TRUE,FALSE),FALSE)</f>
        <v>0</v>
      </c>
      <c r="Z44" s="11" t="b">
        <v>0</v>
      </c>
      <c r="AA44" s="13">
        <v>36</v>
      </c>
      <c r="AB44" s="13" t="s">
        <v>76</v>
      </c>
      <c r="AC44" s="13" t="s">
        <v>317</v>
      </c>
      <c r="AD44" s="13" t="s">
        <v>313</v>
      </c>
      <c r="AE44" s="13" t="s">
        <v>78</v>
      </c>
      <c r="AF44" s="13" t="s">
        <v>318</v>
      </c>
      <c r="AG44" s="13" t="s">
        <v>91</v>
      </c>
      <c r="AH44" s="13" t="s">
        <v>92</v>
      </c>
      <c r="AI44" s="13" t="s">
        <v>93</v>
      </c>
      <c r="AJ44" s="14">
        <v>165328</v>
      </c>
      <c r="AK44" s="18"/>
      <c r="AL44" s="18"/>
      <c r="AM44" s="13" t="s">
        <v>319</v>
      </c>
      <c r="AN44" s="13" t="s">
        <v>63</v>
      </c>
      <c r="AO44" s="11" t="s">
        <v>313</v>
      </c>
      <c r="AP44" s="11" t="s">
        <v>313</v>
      </c>
      <c r="AQ44" s="21" t="s">
        <v>136</v>
      </c>
      <c r="AR44" s="25"/>
      <c r="AS44" s="25"/>
      <c r="AT44" s="25"/>
      <c r="AU44" s="25"/>
      <c r="AV44" s="25"/>
      <c r="AW44" s="25"/>
      <c r="AX44" s="24"/>
    </row>
    <row r="45" spans="1:50" ht="16.5" customHeight="1">
      <c r="A45" s="36" t="s">
        <v>320</v>
      </c>
      <c r="B45" s="28" t="s">
        <v>68</v>
      </c>
      <c r="C45" s="29" t="s">
        <v>321</v>
      </c>
      <c r="D45" s="29"/>
      <c r="E45" s="28" t="s">
        <v>70</v>
      </c>
      <c r="F45" s="28">
        <v>268</v>
      </c>
      <c r="G45" s="28">
        <v>3</v>
      </c>
      <c r="H45" s="29" t="str">
        <f>IF(ISNUMBER(Table810[[#This Row],[Total Capacity]]),"USBR Enterprise Asset Registry",IF(Table810[[#This Row],[Total Capacity]]="",""))</f>
        <v>USBR Enterprise Asset Registry</v>
      </c>
      <c r="I45" s="28" t="s">
        <v>57</v>
      </c>
      <c r="J45" s="28" t="s">
        <v>72</v>
      </c>
      <c r="K45" s="28">
        <v>0</v>
      </c>
      <c r="L45" s="50">
        <v>29161</v>
      </c>
      <c r="M45" s="48"/>
      <c r="N45" s="50">
        <v>29161</v>
      </c>
      <c r="O45" s="28"/>
      <c r="P45" s="38" t="s">
        <v>322</v>
      </c>
      <c r="Q45" s="29">
        <f>IF(OR(Table810[[#This Row],[Post-Review Decision]]="Include", Table810[[#This Row],[Post-Review Decision]]="Include if possible", Table810[[#This Row],[Post-Review Decision]]="Include (Omit % Avg if needed)",  Table810[[#This Row],[Post-Review Decision]]="Include (Omit % Avg)"),Table810[[#This Row],[EAR Total Capacity]],"")</f>
        <v>29161</v>
      </c>
      <c r="R45" s="29">
        <v>26769</v>
      </c>
      <c r="S45" s="46">
        <v>28973</v>
      </c>
      <c r="T45" s="29" t="s">
        <v>320</v>
      </c>
      <c r="U45" s="29" t="s">
        <v>323</v>
      </c>
      <c r="V45" s="13" t="s">
        <v>324</v>
      </c>
      <c r="W45" s="12" t="b">
        <f>ISNUMBER(Table810[[#This Row],[EAR Total Capacity]])</f>
        <v>1</v>
      </c>
      <c r="X45" s="12" t="b">
        <f>IF(Table810[[#This Row],[Has  Storage for Full Averaging Period?]]="OK",TRUE,FALSE)</f>
        <v>0</v>
      </c>
      <c r="Y45" s="12" t="b">
        <f>IFERROR(IF(YEAR(Table810[[#This Row],[RISE Storage End Date]])=2025,TRUE,FALSE),FALSE)</f>
        <v>1</v>
      </c>
      <c r="Z45" s="11" t="b">
        <v>0</v>
      </c>
      <c r="AA45" s="13">
        <v>38</v>
      </c>
      <c r="AB45" s="13" t="s">
        <v>76</v>
      </c>
      <c r="AC45" s="13" t="s">
        <v>325</v>
      </c>
      <c r="AD45" s="13" t="s">
        <v>320</v>
      </c>
      <c r="AE45" s="13" t="s">
        <v>78</v>
      </c>
      <c r="AF45" s="13" t="s">
        <v>326</v>
      </c>
      <c r="AG45" s="13" t="s">
        <v>109</v>
      </c>
      <c r="AH45" s="13" t="s">
        <v>92</v>
      </c>
      <c r="AI45" s="13" t="s">
        <v>93</v>
      </c>
      <c r="AJ45" s="14">
        <v>29161</v>
      </c>
      <c r="AK45" s="18"/>
      <c r="AL45" s="18"/>
      <c r="AM45" s="13" t="s">
        <v>327</v>
      </c>
      <c r="AN45" s="13" t="s">
        <v>95</v>
      </c>
      <c r="AO45" s="13" t="s">
        <v>320</v>
      </c>
      <c r="AP45" s="13" t="s">
        <v>320</v>
      </c>
      <c r="AQ45" s="21" t="s">
        <v>64</v>
      </c>
      <c r="AR45" s="26">
        <v>33542</v>
      </c>
      <c r="AS45" s="26">
        <v>46007</v>
      </c>
      <c r="AT45" s="25">
        <v>11304</v>
      </c>
      <c r="AU45" s="25" t="s">
        <v>66</v>
      </c>
      <c r="AV45" s="25" t="s">
        <v>65</v>
      </c>
      <c r="AW45" s="25" t="s">
        <v>66</v>
      </c>
      <c r="AX45" s="24"/>
    </row>
    <row r="46" spans="1:50" ht="16.5" customHeight="1">
      <c r="A46" s="36" t="s">
        <v>328</v>
      </c>
      <c r="B46" s="28" t="s">
        <v>68</v>
      </c>
      <c r="C46" s="28" t="s">
        <v>86</v>
      </c>
      <c r="D46" s="28"/>
      <c r="E46" s="28" t="s">
        <v>70</v>
      </c>
      <c r="F46" s="28">
        <v>281</v>
      </c>
      <c r="G46" s="28">
        <v>3</v>
      </c>
      <c r="H46" s="28" t="str">
        <f>IF(ISNUMBER(Table810[[#This Row],[Total Capacity]]),"USBR Enterprise Asset Registry",IF(Table810[[#This Row],[Total Capacity]]="",""))</f>
        <v>USBR Enterprise Asset Registry</v>
      </c>
      <c r="I46" s="28" t="s">
        <v>57</v>
      </c>
      <c r="J46" s="28" t="s">
        <v>127</v>
      </c>
      <c r="K46" s="33">
        <v>150632</v>
      </c>
      <c r="L46" s="50">
        <v>741594</v>
      </c>
      <c r="M46" s="48"/>
      <c r="N46" s="50">
        <v>741594</v>
      </c>
      <c r="O46" s="28"/>
      <c r="P46" s="37"/>
      <c r="Q46" s="28">
        <f>IF(OR(Table810[[#This Row],[Post-Review Decision]]="Include", Table810[[#This Row],[Post-Review Decision]]="Include if possible", Table810[[#This Row],[Post-Review Decision]]="Include (Omit % Avg if needed)",  Table810[[#This Row],[Post-Review Decision]]="Include (Omit % Avg)"),Table810[[#This Row],[EAR Total Capacity]],"")</f>
        <v>892226</v>
      </c>
      <c r="R46" s="28">
        <v>673045</v>
      </c>
      <c r="S46" s="46">
        <v>852142</v>
      </c>
      <c r="T46" s="28" t="s">
        <v>328</v>
      </c>
      <c r="U46" s="28" t="s">
        <v>329</v>
      </c>
      <c r="V46" s="13" t="s">
        <v>330</v>
      </c>
      <c r="W46" s="12" t="b">
        <f>ISNUMBER(Table810[[#This Row],[EAR Total Capacity]])</f>
        <v>1</v>
      </c>
      <c r="X46" s="12" t="b">
        <f>IF(Table810[[#This Row],[Has  Storage for Full Averaging Period?]]="OK",TRUE,FALSE)</f>
        <v>1</v>
      </c>
      <c r="Y46" s="12" t="b">
        <f>IFERROR(IF(YEAR(Table810[[#This Row],[RISE Storage End Date]])=2025,TRUE,FALSE),FALSE)</f>
        <v>1</v>
      </c>
      <c r="Z46" s="11" t="b">
        <v>0</v>
      </c>
      <c r="AA46" s="13">
        <v>39</v>
      </c>
      <c r="AB46" s="13" t="s">
        <v>76</v>
      </c>
      <c r="AC46" s="13" t="s">
        <v>331</v>
      </c>
      <c r="AD46" s="13" t="s">
        <v>328</v>
      </c>
      <c r="AE46" s="13" t="s">
        <v>78</v>
      </c>
      <c r="AF46" s="13" t="s">
        <v>332</v>
      </c>
      <c r="AG46" s="13" t="s">
        <v>91</v>
      </c>
      <c r="AH46" s="13" t="s">
        <v>92</v>
      </c>
      <c r="AI46" s="13" t="s">
        <v>93</v>
      </c>
      <c r="AJ46" s="14">
        <v>892226</v>
      </c>
      <c r="AK46" s="18"/>
      <c r="AL46" s="18"/>
      <c r="AM46" s="13" t="s">
        <v>333</v>
      </c>
      <c r="AN46" s="13" t="s">
        <v>95</v>
      </c>
      <c r="AO46" s="13" t="s">
        <v>328</v>
      </c>
      <c r="AP46" s="13" t="s">
        <v>328</v>
      </c>
      <c r="AQ46" s="21" t="s">
        <v>64</v>
      </c>
      <c r="AR46" s="26">
        <v>18902</v>
      </c>
      <c r="AS46" s="26">
        <v>46007</v>
      </c>
      <c r="AT46" s="25">
        <v>27113</v>
      </c>
      <c r="AU46" s="25" t="s">
        <v>65</v>
      </c>
      <c r="AV46" s="25" t="s">
        <v>65</v>
      </c>
      <c r="AW46" s="25" t="s">
        <v>65</v>
      </c>
      <c r="AX46" s="24"/>
    </row>
    <row r="47" spans="1:50" ht="16.5" customHeight="1">
      <c r="A47" s="36" t="s">
        <v>334</v>
      </c>
      <c r="B47" s="28" t="s">
        <v>68</v>
      </c>
      <c r="C47" s="28" t="s">
        <v>86</v>
      </c>
      <c r="D47" s="28"/>
      <c r="E47" s="28" t="s">
        <v>70</v>
      </c>
      <c r="F47" s="28">
        <v>282</v>
      </c>
      <c r="G47" s="28">
        <v>3</v>
      </c>
      <c r="H47" s="28" t="str">
        <f>IF(ISNUMBER(Table810[[#This Row],[Total Capacity]]),"USBR Enterprise Asset Registry",IF(Table810[[#This Row],[Total Capacity]]="",""))</f>
        <v>USBR Enterprise Asset Registry</v>
      </c>
      <c r="I47" s="28" t="s">
        <v>57</v>
      </c>
      <c r="J47" s="28" t="s">
        <v>127</v>
      </c>
      <c r="K47" s="28">
        <v>342049</v>
      </c>
      <c r="L47" s="50">
        <v>41986</v>
      </c>
      <c r="M47" s="48"/>
      <c r="N47" s="50">
        <v>41986</v>
      </c>
      <c r="O47" s="28"/>
      <c r="P47" s="37"/>
      <c r="Q47" s="28">
        <f>IF(OR(Table810[[#This Row],[Post-Review Decision]]="Include", Table810[[#This Row],[Post-Review Decision]]="Include if possible", Table810[[#This Row],[Post-Review Decision]]="Include (Omit % Avg if needed)",  Table810[[#This Row],[Post-Review Decision]]="Include (Omit % Avg)"),Table810[[#This Row],[EAR Total Capacity]],"")</f>
        <v>384035</v>
      </c>
      <c r="R47" s="28">
        <v>382020</v>
      </c>
      <c r="S47" s="46">
        <v>383996</v>
      </c>
      <c r="T47" s="28" t="s">
        <v>334</v>
      </c>
      <c r="U47" s="28" t="s">
        <v>335</v>
      </c>
      <c r="V47" s="13" t="s">
        <v>336</v>
      </c>
      <c r="W47" s="12" t="b">
        <f>ISNUMBER(Table810[[#This Row],[EAR Total Capacity]])</f>
        <v>1</v>
      </c>
      <c r="X47" s="12" t="b">
        <f>IF(Table810[[#This Row],[Has  Storage for Full Averaging Period?]]="OK",TRUE,FALSE)</f>
        <v>1</v>
      </c>
      <c r="Y47" s="12" t="b">
        <f>IFERROR(IF(YEAR(Table810[[#This Row],[RISE Storage End Date]])=2025,TRUE,FALSE),FALSE)</f>
        <v>1</v>
      </c>
      <c r="Z47" s="11" t="b">
        <v>0</v>
      </c>
      <c r="AA47" s="13">
        <v>40</v>
      </c>
      <c r="AB47" s="13" t="s">
        <v>76</v>
      </c>
      <c r="AC47" s="13" t="s">
        <v>337</v>
      </c>
      <c r="AD47" s="13" t="s">
        <v>334</v>
      </c>
      <c r="AE47" s="13" t="s">
        <v>78</v>
      </c>
      <c r="AF47" s="13" t="s">
        <v>338</v>
      </c>
      <c r="AG47" s="13" t="s">
        <v>91</v>
      </c>
      <c r="AH47" s="13" t="s">
        <v>102</v>
      </c>
      <c r="AI47" s="13" t="s">
        <v>93</v>
      </c>
      <c r="AJ47" s="14">
        <v>384035</v>
      </c>
      <c r="AK47" s="18"/>
      <c r="AL47" s="18"/>
      <c r="AM47" s="13" t="s">
        <v>339</v>
      </c>
      <c r="AN47" s="13" t="s">
        <v>63</v>
      </c>
      <c r="AO47" s="13" t="s">
        <v>334</v>
      </c>
      <c r="AP47" s="13" t="s">
        <v>334</v>
      </c>
      <c r="AQ47" s="21" t="s">
        <v>64</v>
      </c>
      <c r="AR47" s="26">
        <v>32143</v>
      </c>
      <c r="AS47" s="26">
        <v>46007</v>
      </c>
      <c r="AT47" s="25">
        <v>13866</v>
      </c>
      <c r="AU47" s="25" t="s">
        <v>65</v>
      </c>
      <c r="AV47" s="25" t="s">
        <v>65</v>
      </c>
      <c r="AW47" s="25" t="s">
        <v>65</v>
      </c>
      <c r="AX47" s="24"/>
    </row>
    <row r="48" spans="1:50" ht="16.5" customHeight="1">
      <c r="A48" s="36" t="s">
        <v>340</v>
      </c>
      <c r="B48" s="28"/>
      <c r="C48" s="28" t="s">
        <v>97</v>
      </c>
      <c r="D48" s="28"/>
      <c r="E48" s="28"/>
      <c r="F48" s="28" t="s">
        <v>61</v>
      </c>
      <c r="G48" s="28"/>
      <c r="H48" s="28" t="str">
        <f>IF(ISNUMBER(Table810[[#This Row],[Total Capacity]]),"USBR Enterprise Asset Registry",IF(Table810[[#This Row],[Total Capacity]]="",""))</f>
        <v/>
      </c>
      <c r="I48" s="28"/>
      <c r="J48" s="28"/>
      <c r="K48" s="28"/>
      <c r="L48" s="50" t="s">
        <v>98</v>
      </c>
      <c r="M48" s="48"/>
      <c r="N48" s="50" t="s">
        <v>98</v>
      </c>
      <c r="O48" s="28"/>
      <c r="P48" s="37"/>
      <c r="Q48" s="28" t="str">
        <f>IF(OR(Table810[[#This Row],[Post-Review Decision]]="Include", Table810[[#This Row],[Post-Review Decision]]="Include if possible", Table810[[#This Row],[Post-Review Decision]]="Include (Omit % Avg if needed)",  Table810[[#This Row],[Post-Review Decision]]="Include (Omit % Avg)"),Table810[[#This Row],[EAR Total Capacity]],"")</f>
        <v/>
      </c>
      <c r="R48" s="28"/>
      <c r="S48" s="45">
        <v>0</v>
      </c>
      <c r="T48" s="28"/>
      <c r="U48" s="28"/>
      <c r="V48" s="13" t="s">
        <v>341</v>
      </c>
      <c r="W48" s="12" t="b">
        <f>ISNUMBER(Table810[[#This Row],[EAR Total Capacity]])</f>
        <v>0</v>
      </c>
      <c r="X48" s="12" t="b">
        <f>IF(Table810[[#This Row],[Has  Storage for Full Averaging Period?]]="OK",TRUE,FALSE)</f>
        <v>0</v>
      </c>
      <c r="Y48" s="12" t="b">
        <f>IFERROR(IF(YEAR(Table810[[#This Row],[RISE Storage End Date]])=2025,TRUE,FALSE),FALSE)</f>
        <v>0</v>
      </c>
      <c r="Z48" s="11" t="b">
        <v>0</v>
      </c>
      <c r="AA48" s="13">
        <v>206</v>
      </c>
      <c r="AB48" s="13" t="s">
        <v>76</v>
      </c>
      <c r="AC48" s="13" t="s">
        <v>342</v>
      </c>
      <c r="AD48" s="13" t="s">
        <v>340</v>
      </c>
      <c r="AE48" s="13" t="s">
        <v>343</v>
      </c>
      <c r="AF48" s="13" t="s">
        <v>344</v>
      </c>
      <c r="AG48" s="13" t="s">
        <v>109</v>
      </c>
      <c r="AH48" s="13" t="s">
        <v>92</v>
      </c>
      <c r="AI48" s="13" t="s">
        <v>110</v>
      </c>
      <c r="AJ48" s="13"/>
      <c r="AK48" s="15"/>
      <c r="AL48" s="15"/>
      <c r="AM48" s="15" t="s">
        <v>61</v>
      </c>
      <c r="AN48" s="15" t="s">
        <v>61</v>
      </c>
      <c r="AO48" s="15" t="s">
        <v>61</v>
      </c>
      <c r="AP48" s="15" t="s">
        <v>61</v>
      </c>
      <c r="AQ48" s="21" t="s">
        <v>136</v>
      </c>
      <c r="AR48" s="25"/>
      <c r="AS48" s="25"/>
      <c r="AT48" s="25"/>
      <c r="AU48" s="25"/>
      <c r="AV48" s="25"/>
      <c r="AW48" s="25"/>
      <c r="AX48" s="24"/>
    </row>
    <row r="49" spans="1:50" ht="16.5" customHeight="1">
      <c r="A49" s="36" t="s">
        <v>345</v>
      </c>
      <c r="B49" s="28"/>
      <c r="C49" s="28" t="s">
        <v>97</v>
      </c>
      <c r="D49" s="28"/>
      <c r="E49" s="28"/>
      <c r="F49" s="28" t="s">
        <v>61</v>
      </c>
      <c r="G49" s="28"/>
      <c r="H49" s="28" t="str">
        <f>IF(ISNUMBER(Table810[[#This Row],[Total Capacity]]),"USBR Enterprise Asset Registry",IF(Table810[[#This Row],[Total Capacity]]="",""))</f>
        <v/>
      </c>
      <c r="I49" s="28"/>
      <c r="J49" s="28"/>
      <c r="K49" s="28"/>
      <c r="L49" s="50" t="s">
        <v>98</v>
      </c>
      <c r="M49" s="48"/>
      <c r="N49" s="50" t="s">
        <v>98</v>
      </c>
      <c r="O49" s="28"/>
      <c r="P49" s="37"/>
      <c r="Q49" s="28" t="str">
        <f>IF(OR(Table810[[#This Row],[Post-Review Decision]]="Include", Table810[[#This Row],[Post-Review Decision]]="Include if possible", Table810[[#This Row],[Post-Review Decision]]="Include (Omit % Avg if needed)",  Table810[[#This Row],[Post-Review Decision]]="Include (Omit % Avg)"),Table810[[#This Row],[EAR Total Capacity]],"")</f>
        <v/>
      </c>
      <c r="R49" s="28"/>
      <c r="S49" s="45">
        <v>0</v>
      </c>
      <c r="T49" s="28"/>
      <c r="U49" s="28"/>
      <c r="V49" s="13" t="s">
        <v>346</v>
      </c>
      <c r="W49" s="12" t="b">
        <f>ISNUMBER(Table810[[#This Row],[EAR Total Capacity]])</f>
        <v>1</v>
      </c>
      <c r="X49" s="12" t="b">
        <f>IF(Table810[[#This Row],[Has  Storage for Full Averaging Period?]]="OK",TRUE,FALSE)</f>
        <v>0</v>
      </c>
      <c r="Y49" s="12" t="b">
        <f>IFERROR(IF(YEAR(Table810[[#This Row],[RISE Storage End Date]])=2025,TRUE,FALSE),FALSE)</f>
        <v>0</v>
      </c>
      <c r="Z49" s="11" t="b">
        <v>0</v>
      </c>
      <c r="AA49" s="13">
        <v>41</v>
      </c>
      <c r="AB49" s="13" t="s">
        <v>76</v>
      </c>
      <c r="AC49" s="13" t="s">
        <v>347</v>
      </c>
      <c r="AD49" s="13" t="s">
        <v>345</v>
      </c>
      <c r="AE49" s="13" t="s">
        <v>101</v>
      </c>
      <c r="AF49" s="13" t="s">
        <v>348</v>
      </c>
      <c r="AG49" s="13" t="s">
        <v>133</v>
      </c>
      <c r="AH49" s="13" t="s">
        <v>92</v>
      </c>
      <c r="AI49" s="13" t="s">
        <v>103</v>
      </c>
      <c r="AJ49" s="13">
        <v>2177</v>
      </c>
      <c r="AK49" s="15"/>
      <c r="AL49" s="15"/>
      <c r="AM49" s="15" t="s">
        <v>61</v>
      </c>
      <c r="AN49" s="15" t="s">
        <v>61</v>
      </c>
      <c r="AO49" s="15" t="s">
        <v>61</v>
      </c>
      <c r="AP49" s="15" t="s">
        <v>61</v>
      </c>
      <c r="AQ49" s="22"/>
      <c r="AR49" s="25"/>
      <c r="AS49" s="25"/>
      <c r="AT49" s="25"/>
      <c r="AU49" s="25"/>
      <c r="AV49" s="25"/>
      <c r="AW49" s="25"/>
      <c r="AX49" s="24"/>
    </row>
    <row r="50" spans="1:50" ht="16.5" customHeight="1">
      <c r="A50" s="36" t="s">
        <v>349</v>
      </c>
      <c r="B50" s="28"/>
      <c r="C50" s="28" t="s">
        <v>97</v>
      </c>
      <c r="D50" s="28"/>
      <c r="E50" s="28"/>
      <c r="F50" s="28" t="s">
        <v>61</v>
      </c>
      <c r="G50" s="28"/>
      <c r="H50" s="28" t="str">
        <f>IF(ISNUMBER(Table810[[#This Row],[Total Capacity]]),"USBR Enterprise Asset Registry",IF(Table810[[#This Row],[Total Capacity]]="",""))</f>
        <v/>
      </c>
      <c r="I50" s="28"/>
      <c r="J50" s="28"/>
      <c r="K50" s="28"/>
      <c r="L50" s="50" t="s">
        <v>98</v>
      </c>
      <c r="M50" s="48"/>
      <c r="N50" s="50" t="s">
        <v>98</v>
      </c>
      <c r="O50" s="28"/>
      <c r="P50" s="37"/>
      <c r="Q50" s="28" t="str">
        <f>IF(OR(Table810[[#This Row],[Post-Review Decision]]="Include", Table810[[#This Row],[Post-Review Decision]]="Include if possible", Table810[[#This Row],[Post-Review Decision]]="Include (Omit % Avg if needed)",  Table810[[#This Row],[Post-Review Decision]]="Include (Omit % Avg)"),Table810[[#This Row],[EAR Total Capacity]],"")</f>
        <v/>
      </c>
      <c r="R50" s="28"/>
      <c r="S50" s="45">
        <v>0</v>
      </c>
      <c r="T50" s="28"/>
      <c r="U50" s="28"/>
      <c r="V50" s="13" t="s">
        <v>224</v>
      </c>
      <c r="W50" s="12" t="b">
        <f>ISNUMBER(Table810[[#This Row],[EAR Total Capacity]])</f>
        <v>0</v>
      </c>
      <c r="X50" s="12" t="b">
        <f>IF(Table810[[#This Row],[Has  Storage for Full Averaging Period?]]="OK",TRUE,FALSE)</f>
        <v>0</v>
      </c>
      <c r="Y50" s="12" t="b">
        <f>IFERROR(IF(YEAR(Table810[[#This Row],[RISE Storage End Date]])=2025,TRUE,FALSE),FALSE)</f>
        <v>0</v>
      </c>
      <c r="Z50" s="11" t="b">
        <v>0</v>
      </c>
      <c r="AA50" s="13">
        <v>42</v>
      </c>
      <c r="AB50" s="13" t="s">
        <v>76</v>
      </c>
      <c r="AC50" s="13" t="s">
        <v>350</v>
      </c>
      <c r="AD50" s="13" t="s">
        <v>349</v>
      </c>
      <c r="AE50" s="13" t="s">
        <v>101</v>
      </c>
      <c r="AF50" s="13" t="s">
        <v>351</v>
      </c>
      <c r="AG50" s="13" t="s">
        <v>91</v>
      </c>
      <c r="AH50" s="13" t="s">
        <v>102</v>
      </c>
      <c r="AI50" s="13" t="s">
        <v>103</v>
      </c>
      <c r="AJ50" s="14"/>
      <c r="AK50" s="15"/>
      <c r="AL50" s="15"/>
      <c r="AM50" s="15" t="s">
        <v>61</v>
      </c>
      <c r="AN50" s="15" t="s">
        <v>61</v>
      </c>
      <c r="AO50" s="15" t="s">
        <v>61</v>
      </c>
      <c r="AP50" s="15" t="s">
        <v>61</v>
      </c>
      <c r="AQ50" s="22"/>
      <c r="AR50" s="25"/>
      <c r="AS50" s="25"/>
      <c r="AT50" s="25"/>
      <c r="AU50" s="25"/>
      <c r="AV50" s="25"/>
      <c r="AW50" s="25"/>
      <c r="AX50" s="24"/>
    </row>
    <row r="51" spans="1:50" ht="16.5" customHeight="1">
      <c r="A51" s="36" t="s">
        <v>352</v>
      </c>
      <c r="B51" s="28"/>
      <c r="C51" s="28" t="s">
        <v>97</v>
      </c>
      <c r="D51" s="28"/>
      <c r="E51" s="28"/>
      <c r="F51" s="28" t="s">
        <v>61</v>
      </c>
      <c r="G51" s="28"/>
      <c r="H51" s="28" t="str">
        <f>IF(ISNUMBER(Table810[[#This Row],[Total Capacity]]),"USBR Enterprise Asset Registry",IF(Table810[[#This Row],[Total Capacity]]="",""))</f>
        <v/>
      </c>
      <c r="I51" s="28"/>
      <c r="J51" s="28"/>
      <c r="K51" s="28"/>
      <c r="L51" s="50" t="s">
        <v>98</v>
      </c>
      <c r="M51" s="48"/>
      <c r="N51" s="50" t="s">
        <v>98</v>
      </c>
      <c r="O51" s="28"/>
      <c r="P51" s="37"/>
      <c r="Q51" s="28" t="str">
        <f>IF(OR(Table810[[#This Row],[Post-Review Decision]]="Include", Table810[[#This Row],[Post-Review Decision]]="Include if possible", Table810[[#This Row],[Post-Review Decision]]="Include (Omit % Avg if needed)",  Table810[[#This Row],[Post-Review Decision]]="Include (Omit % Avg)"),Table810[[#This Row],[EAR Total Capacity]],"")</f>
        <v/>
      </c>
      <c r="R51" s="28"/>
      <c r="S51" s="45">
        <v>0</v>
      </c>
      <c r="T51" s="28"/>
      <c r="U51" s="28"/>
      <c r="V51" s="13" t="s">
        <v>353</v>
      </c>
      <c r="W51" s="12" t="b">
        <f>ISNUMBER(Table810[[#This Row],[EAR Total Capacity]])</f>
        <v>1</v>
      </c>
      <c r="X51" s="12" t="b">
        <f>IF(Table810[[#This Row],[Has  Storage for Full Averaging Period?]]="OK",TRUE,FALSE)</f>
        <v>0</v>
      </c>
      <c r="Y51" s="12" t="b">
        <f>IFERROR(IF(YEAR(Table810[[#This Row],[RISE Storage End Date]])=2025,TRUE,FALSE),FALSE)</f>
        <v>0</v>
      </c>
      <c r="Z51" s="11" t="b">
        <v>0</v>
      </c>
      <c r="AA51" s="13">
        <v>43</v>
      </c>
      <c r="AB51" s="13" t="s">
        <v>76</v>
      </c>
      <c r="AC51" s="13" t="s">
        <v>354</v>
      </c>
      <c r="AD51" s="13" t="s">
        <v>352</v>
      </c>
      <c r="AE51" s="13" t="s">
        <v>101</v>
      </c>
      <c r="AF51" s="13" t="s">
        <v>355</v>
      </c>
      <c r="AG51" s="13" t="s">
        <v>133</v>
      </c>
      <c r="AH51" s="13" t="s">
        <v>92</v>
      </c>
      <c r="AI51" s="13" t="s">
        <v>356</v>
      </c>
      <c r="AJ51" s="14">
        <v>90</v>
      </c>
      <c r="AK51" s="15"/>
      <c r="AL51" s="15"/>
      <c r="AM51" s="15" t="s">
        <v>61</v>
      </c>
      <c r="AN51" s="15" t="s">
        <v>61</v>
      </c>
      <c r="AO51" s="15" t="s">
        <v>61</v>
      </c>
      <c r="AP51" s="15" t="s">
        <v>61</v>
      </c>
      <c r="AQ51" s="22"/>
      <c r="AR51" s="25"/>
      <c r="AS51" s="25"/>
      <c r="AT51" s="25"/>
      <c r="AU51" s="25"/>
      <c r="AV51" s="25"/>
      <c r="AW51" s="25"/>
      <c r="AX51" s="24"/>
    </row>
    <row r="52" spans="1:50" ht="16.5" customHeight="1">
      <c r="A52" s="36" t="s">
        <v>357</v>
      </c>
      <c r="B52" s="28"/>
      <c r="C52" s="28" t="s">
        <v>97</v>
      </c>
      <c r="D52" s="28"/>
      <c r="E52" s="28"/>
      <c r="F52" s="28" t="s">
        <v>61</v>
      </c>
      <c r="G52" s="28"/>
      <c r="H52" s="28" t="str">
        <f>IF(ISNUMBER(Table810[[#This Row],[Total Capacity]]),"USBR Enterprise Asset Registry",IF(Table810[[#This Row],[Total Capacity]]="",""))</f>
        <v/>
      </c>
      <c r="I52" s="28"/>
      <c r="J52" s="28"/>
      <c r="K52" s="28"/>
      <c r="L52" s="50" t="s">
        <v>98</v>
      </c>
      <c r="M52" s="48"/>
      <c r="N52" s="50" t="s">
        <v>98</v>
      </c>
      <c r="O52" s="28"/>
      <c r="P52" s="37"/>
      <c r="Q52" s="28" t="str">
        <f>IF(OR(Table810[[#This Row],[Post-Review Decision]]="Include", Table810[[#This Row],[Post-Review Decision]]="Include if possible", Table810[[#This Row],[Post-Review Decision]]="Include (Omit % Avg if needed)",  Table810[[#This Row],[Post-Review Decision]]="Include (Omit % Avg)"),Table810[[#This Row],[EAR Total Capacity]],"")</f>
        <v/>
      </c>
      <c r="R52" s="28">
        <v>1090</v>
      </c>
      <c r="S52" s="46">
        <v>1090</v>
      </c>
      <c r="T52" s="28"/>
      <c r="U52" s="28"/>
      <c r="V52" s="13" t="s">
        <v>358</v>
      </c>
      <c r="W52" s="12" t="b">
        <f>ISNUMBER(Table810[[#This Row],[EAR Total Capacity]])</f>
        <v>1</v>
      </c>
      <c r="X52" s="12" t="b">
        <f>IF(Table810[[#This Row],[Has  Storage for Full Averaging Period?]]="OK",TRUE,FALSE)</f>
        <v>0</v>
      </c>
      <c r="Y52" s="12" t="b">
        <f>IFERROR(IF(YEAR(Table810[[#This Row],[RISE Storage End Date]])=2025,TRUE,FALSE),FALSE)</f>
        <v>0</v>
      </c>
      <c r="Z52" s="11" t="b">
        <v>0</v>
      </c>
      <c r="AA52" s="13">
        <v>44</v>
      </c>
      <c r="AB52" s="13" t="s">
        <v>76</v>
      </c>
      <c r="AC52" s="13" t="s">
        <v>359</v>
      </c>
      <c r="AD52" s="13" t="s">
        <v>357</v>
      </c>
      <c r="AE52" s="13" t="s">
        <v>78</v>
      </c>
      <c r="AF52" s="13" t="s">
        <v>360</v>
      </c>
      <c r="AG52" s="13" t="s">
        <v>159</v>
      </c>
      <c r="AH52" s="13" t="s">
        <v>160</v>
      </c>
      <c r="AI52" s="13" t="s">
        <v>93</v>
      </c>
      <c r="AJ52" s="14">
        <v>1100</v>
      </c>
      <c r="AK52" s="15"/>
      <c r="AL52" s="15"/>
      <c r="AM52" s="15" t="s">
        <v>61</v>
      </c>
      <c r="AN52" s="15" t="s">
        <v>61</v>
      </c>
      <c r="AO52" s="15" t="s">
        <v>61</v>
      </c>
      <c r="AP52" s="15" t="s">
        <v>61</v>
      </c>
      <c r="AQ52" s="21" t="s">
        <v>136</v>
      </c>
      <c r="AR52" s="25"/>
      <c r="AS52" s="25"/>
      <c r="AT52" s="25"/>
      <c r="AU52" s="25"/>
      <c r="AV52" s="25"/>
      <c r="AW52" s="25"/>
      <c r="AX52" s="24"/>
    </row>
    <row r="53" spans="1:50" ht="16.5" customHeight="1">
      <c r="A53" s="36" t="s">
        <v>361</v>
      </c>
      <c r="B53" s="28" t="s">
        <v>68</v>
      </c>
      <c r="C53" s="28" t="s">
        <v>86</v>
      </c>
      <c r="D53" s="28"/>
      <c r="E53" s="28" t="s">
        <v>70</v>
      </c>
      <c r="F53" s="28">
        <v>269</v>
      </c>
      <c r="G53" s="28">
        <v>3</v>
      </c>
      <c r="H53" s="28" t="str">
        <f>IF(ISNUMBER(Table810[[#This Row],[Total Capacity]]),"USBR Enterprise Asset Registry",IF(Table810[[#This Row],[Total Capacity]]="",""))</f>
        <v>USBR Enterprise Asset Registry</v>
      </c>
      <c r="I53" s="28" t="s">
        <v>57</v>
      </c>
      <c r="J53" s="28" t="s">
        <v>72</v>
      </c>
      <c r="K53" s="28"/>
      <c r="L53" s="50">
        <v>646565</v>
      </c>
      <c r="M53" s="48"/>
      <c r="N53" s="50">
        <v>646565</v>
      </c>
      <c r="O53" s="28"/>
      <c r="P53" s="37"/>
      <c r="Q53" s="28">
        <f>IF(OR(Table810[[#This Row],[Post-Review Decision]]="Include", Table810[[#This Row],[Post-Review Decision]]="Include if possible", Table810[[#This Row],[Post-Review Decision]]="Include (Omit % Avg if needed)",  Table810[[#This Row],[Post-Review Decision]]="Include (Omit % Avg)"),Table810[[#This Row],[EAR Total Capacity]],"")</f>
        <v>646565</v>
      </c>
      <c r="R53" s="28">
        <v>604817</v>
      </c>
      <c r="S53" s="45">
        <v>0</v>
      </c>
      <c r="T53" s="28" t="s">
        <v>361</v>
      </c>
      <c r="U53" s="28" t="s">
        <v>362</v>
      </c>
      <c r="V53" s="13" t="s">
        <v>363</v>
      </c>
      <c r="W53" s="12" t="b">
        <f>ISNUMBER(Table810[[#This Row],[EAR Total Capacity]])</f>
        <v>1</v>
      </c>
      <c r="X53" s="12" t="b">
        <f>IF(Table810[[#This Row],[Has  Storage for Full Averaging Period?]]="OK",TRUE,FALSE)</f>
        <v>1</v>
      </c>
      <c r="Y53" s="12" t="b">
        <f>IFERROR(IF(YEAR(Table810[[#This Row],[RISE Storage End Date]])=2025,TRUE,FALSE),FALSE)</f>
        <v>1</v>
      </c>
      <c r="Z53" s="11" t="b">
        <v>0</v>
      </c>
      <c r="AA53" s="13">
        <v>45</v>
      </c>
      <c r="AB53" s="13" t="s">
        <v>76</v>
      </c>
      <c r="AC53" s="13" t="s">
        <v>364</v>
      </c>
      <c r="AD53" s="13" t="s">
        <v>361</v>
      </c>
      <c r="AE53" s="13" t="s">
        <v>78</v>
      </c>
      <c r="AF53" s="13" t="s">
        <v>365</v>
      </c>
      <c r="AG53" s="13" t="s">
        <v>91</v>
      </c>
      <c r="AH53" s="13" t="s">
        <v>92</v>
      </c>
      <c r="AI53" s="13" t="s">
        <v>93</v>
      </c>
      <c r="AJ53" s="14">
        <v>646565</v>
      </c>
      <c r="AK53" s="18"/>
      <c r="AL53" s="18"/>
      <c r="AM53" s="13" t="s">
        <v>366</v>
      </c>
      <c r="AN53" s="13" t="s">
        <v>95</v>
      </c>
      <c r="AO53" s="13" t="s">
        <v>361</v>
      </c>
      <c r="AP53" s="13" t="s">
        <v>361</v>
      </c>
      <c r="AQ53" s="21" t="s">
        <v>64</v>
      </c>
      <c r="AR53" s="26">
        <v>18902</v>
      </c>
      <c r="AS53" s="26">
        <v>46007</v>
      </c>
      <c r="AT53" s="25">
        <v>27110</v>
      </c>
      <c r="AU53" s="25" t="s">
        <v>65</v>
      </c>
      <c r="AV53" s="25" t="s">
        <v>65</v>
      </c>
      <c r="AW53" s="25" t="s">
        <v>65</v>
      </c>
      <c r="AX53" s="24"/>
    </row>
    <row r="54" spans="1:50" ht="16.5" customHeight="1">
      <c r="A54" s="36" t="s">
        <v>367</v>
      </c>
      <c r="B54" s="28" t="s">
        <v>68</v>
      </c>
      <c r="C54" s="28" t="s">
        <v>86</v>
      </c>
      <c r="D54" s="28"/>
      <c r="E54" s="28" t="s">
        <v>70</v>
      </c>
      <c r="F54" s="28">
        <v>278</v>
      </c>
      <c r="G54" s="28">
        <v>3</v>
      </c>
      <c r="H54" s="28" t="str">
        <f>IF(ISNUMBER(Table810[[#This Row],[Total Capacity]]),"USBR Enterprise Asset Registry",IF(Table810[[#This Row],[Total Capacity]]="",""))</f>
        <v>USBR Enterprise Asset Registry</v>
      </c>
      <c r="I54" s="28" t="s">
        <v>57</v>
      </c>
      <c r="J54" s="28" t="s">
        <v>72</v>
      </c>
      <c r="K54" s="28"/>
      <c r="L54" s="50">
        <v>152459</v>
      </c>
      <c r="M54" s="48"/>
      <c r="N54" s="50">
        <v>152459</v>
      </c>
      <c r="O54" s="28"/>
      <c r="P54" s="37"/>
      <c r="Q54" s="28">
        <f>IF(OR(Table810[[#This Row],[Post-Review Decision]]="Include", Table810[[#This Row],[Post-Review Decision]]="Include if possible", Table810[[#This Row],[Post-Review Decision]]="Include (Omit % Avg if needed)",  Table810[[#This Row],[Post-Review Decision]]="Include (Omit % Avg)"),Table810[[#This Row],[EAR Total Capacity]],"")</f>
        <v>152459</v>
      </c>
      <c r="R54" s="28">
        <v>151737</v>
      </c>
      <c r="S54" s="46">
        <v>151737</v>
      </c>
      <c r="T54" s="28" t="s">
        <v>368</v>
      </c>
      <c r="U54" s="28" t="s">
        <v>369</v>
      </c>
      <c r="V54" s="13" t="s">
        <v>370</v>
      </c>
      <c r="W54" s="12" t="b">
        <f>ISNUMBER(Table810[[#This Row],[EAR Total Capacity]])</f>
        <v>1</v>
      </c>
      <c r="X54" s="12" t="b">
        <f>IF(Table810[[#This Row],[Has  Storage for Full Averaging Period?]]="OK",TRUE,FALSE)</f>
        <v>1</v>
      </c>
      <c r="Y54" s="12" t="b">
        <f>IFERROR(IF(YEAR(Table810[[#This Row],[RISE Storage End Date]])=2025,TRUE,FALSE),FALSE)</f>
        <v>1</v>
      </c>
      <c r="Z54" s="11" t="b">
        <v>0</v>
      </c>
      <c r="AA54" s="13">
        <v>46</v>
      </c>
      <c r="AB54" s="13" t="s">
        <v>76</v>
      </c>
      <c r="AC54" s="13" t="s">
        <v>368</v>
      </c>
      <c r="AD54" s="13" t="s">
        <v>367</v>
      </c>
      <c r="AE54" s="13" t="s">
        <v>78</v>
      </c>
      <c r="AF54" s="13" t="s">
        <v>371</v>
      </c>
      <c r="AG54" s="13" t="s">
        <v>91</v>
      </c>
      <c r="AH54" s="13" t="s">
        <v>92</v>
      </c>
      <c r="AI54" s="13" t="s">
        <v>93</v>
      </c>
      <c r="AJ54" s="14">
        <v>152459</v>
      </c>
      <c r="AK54" s="18"/>
      <c r="AL54" s="18"/>
      <c r="AM54" s="13" t="s">
        <v>372</v>
      </c>
      <c r="AN54" s="13" t="s">
        <v>95</v>
      </c>
      <c r="AO54" s="13" t="s">
        <v>373</v>
      </c>
      <c r="AP54" s="13" t="s">
        <v>373</v>
      </c>
      <c r="AQ54" s="21" t="s">
        <v>64</v>
      </c>
      <c r="AR54" s="26">
        <v>25173</v>
      </c>
      <c r="AS54" s="26">
        <v>46007</v>
      </c>
      <c r="AT54" s="25">
        <v>20836</v>
      </c>
      <c r="AU54" s="25" t="s">
        <v>65</v>
      </c>
      <c r="AV54" s="25" t="s">
        <v>65</v>
      </c>
      <c r="AW54" s="25" t="s">
        <v>65</v>
      </c>
      <c r="AX54" s="24"/>
    </row>
    <row r="55" spans="1:50" ht="16.5" customHeight="1">
      <c r="A55" s="36" t="s">
        <v>374</v>
      </c>
      <c r="B55" s="28" t="s">
        <v>68</v>
      </c>
      <c r="C55" s="28" t="s">
        <v>69</v>
      </c>
      <c r="D55" s="28"/>
      <c r="E55" s="28" t="s">
        <v>70</v>
      </c>
      <c r="F55" s="28">
        <v>3646</v>
      </c>
      <c r="G55" s="28">
        <v>3</v>
      </c>
      <c r="H55" s="28" t="str">
        <f>IF(ISNUMBER(Table810[[#This Row],[Total Capacity]]),"USBR Enterprise Asset Registry",IF(Table810[[#This Row],[Total Capacity]]="",""))</f>
        <v>USBR Enterprise Asset Registry</v>
      </c>
      <c r="I55" s="28" t="s">
        <v>71</v>
      </c>
      <c r="J55" s="28" t="s">
        <v>72</v>
      </c>
      <c r="K55" s="28"/>
      <c r="L55" s="50">
        <v>30000</v>
      </c>
      <c r="M55" s="48"/>
      <c r="N55" s="50">
        <v>30000</v>
      </c>
      <c r="O55" s="28"/>
      <c r="P55" s="37"/>
      <c r="Q55" s="28">
        <f>IF(OR(Table810[[#This Row],[Post-Review Decision]]="Include", Table810[[#This Row],[Post-Review Decision]]="Include if possible", Table810[[#This Row],[Post-Review Decision]]="Include (Omit % Avg if needed)",  Table810[[#This Row],[Post-Review Decision]]="Include (Omit % Avg)"),Table810[[#This Row],[EAR Total Capacity]],"")</f>
        <v>31600</v>
      </c>
      <c r="R55" s="28">
        <v>30000</v>
      </c>
      <c r="S55" s="46">
        <v>29950</v>
      </c>
      <c r="T55" s="28" t="s">
        <v>374</v>
      </c>
      <c r="U55" s="28" t="s">
        <v>375</v>
      </c>
      <c r="V55" s="13" t="s">
        <v>251</v>
      </c>
      <c r="W55" s="12" t="b">
        <f>ISNUMBER(Table810[[#This Row],[EAR Total Capacity]])</f>
        <v>1</v>
      </c>
      <c r="X55" s="12" t="s">
        <v>75</v>
      </c>
      <c r="Y55" s="12" t="b">
        <f>IFERROR(IF(YEAR(Table810[[#This Row],[RISE Storage End Date]])=2025,TRUE,FALSE),FALSE)</f>
        <v>0</v>
      </c>
      <c r="Z55" s="11" t="b">
        <v>0</v>
      </c>
      <c r="AA55" s="13">
        <v>48</v>
      </c>
      <c r="AB55" s="13" t="s">
        <v>76</v>
      </c>
      <c r="AC55" s="13" t="s">
        <v>376</v>
      </c>
      <c r="AD55" s="13" t="s">
        <v>374</v>
      </c>
      <c r="AE55" s="13" t="s">
        <v>78</v>
      </c>
      <c r="AF55" s="13" t="s">
        <v>377</v>
      </c>
      <c r="AG55" s="13" t="s">
        <v>80</v>
      </c>
      <c r="AH55" s="13" t="s">
        <v>81</v>
      </c>
      <c r="AI55" s="13" t="s">
        <v>82</v>
      </c>
      <c r="AJ55" s="19">
        <v>31600</v>
      </c>
      <c r="AK55" s="18"/>
      <c r="AL55" s="18"/>
      <c r="AM55" s="13" t="s">
        <v>378</v>
      </c>
      <c r="AN55" s="13" t="s">
        <v>84</v>
      </c>
      <c r="AO55" s="13" t="s">
        <v>374</v>
      </c>
      <c r="AP55" s="13" t="s">
        <v>374</v>
      </c>
      <c r="AQ55" s="21" t="s">
        <v>64</v>
      </c>
      <c r="AR55" s="25"/>
      <c r="AS55" s="25"/>
      <c r="AT55" s="25"/>
      <c r="AU55" s="25"/>
      <c r="AV55" s="25"/>
      <c r="AW55" s="25"/>
      <c r="AX55" s="24"/>
    </row>
    <row r="56" spans="1:50" ht="16.5" customHeight="1">
      <c r="A56" s="36" t="s">
        <v>379</v>
      </c>
      <c r="B56" s="28"/>
      <c r="C56" s="28" t="s">
        <v>97</v>
      </c>
      <c r="D56" s="28"/>
      <c r="E56" s="28"/>
      <c r="F56" s="28" t="s">
        <v>61</v>
      </c>
      <c r="G56" s="28"/>
      <c r="H56" s="28" t="str">
        <f>IF(ISNUMBER(Table810[[#This Row],[Total Capacity]]),"USBR Enterprise Asset Registry",IF(Table810[[#This Row],[Total Capacity]]="",""))</f>
        <v/>
      </c>
      <c r="I56" s="28"/>
      <c r="J56" s="28"/>
      <c r="K56" s="28"/>
      <c r="L56" s="50" t="s">
        <v>98</v>
      </c>
      <c r="M56" s="48"/>
      <c r="N56" s="50" t="s">
        <v>98</v>
      </c>
      <c r="O56" s="28"/>
      <c r="P56" s="37"/>
      <c r="Q56" s="28" t="str">
        <f>IF(OR(Table810[[#This Row],[Post-Review Decision]]="Include", Table810[[#This Row],[Post-Review Decision]]="Include if possible", Table810[[#This Row],[Post-Review Decision]]="Include (Omit % Avg if needed)",  Table810[[#This Row],[Post-Review Decision]]="Include (Omit % Avg)"),Table810[[#This Row],[EAR Total Capacity]],"")</f>
        <v/>
      </c>
      <c r="R56" s="28"/>
      <c r="S56" s="45">
        <v>0</v>
      </c>
      <c r="T56" s="28"/>
      <c r="U56" s="28"/>
      <c r="V56" s="13" t="s">
        <v>251</v>
      </c>
      <c r="W56" s="12" t="b">
        <f>ISNUMBER(Table810[[#This Row],[EAR Total Capacity]])</f>
        <v>0</v>
      </c>
      <c r="X56" s="12" t="b">
        <f>IF(Table810[[#This Row],[Has  Storage for Full Averaging Period?]]="OK",TRUE,FALSE)</f>
        <v>0</v>
      </c>
      <c r="Y56" s="12" t="b">
        <f>IFERROR(IF(YEAR(Table810[[#This Row],[RISE Storage End Date]])=2025,TRUE,FALSE),FALSE)</f>
        <v>0</v>
      </c>
      <c r="Z56" s="11" t="b">
        <v>0</v>
      </c>
      <c r="AA56" s="13">
        <v>47</v>
      </c>
      <c r="AB56" s="13" t="s">
        <v>76</v>
      </c>
      <c r="AC56" s="13" t="s">
        <v>380</v>
      </c>
      <c r="AD56" s="13" t="s">
        <v>379</v>
      </c>
      <c r="AE56" s="13" t="s">
        <v>101</v>
      </c>
      <c r="AF56" s="13" t="s">
        <v>381</v>
      </c>
      <c r="AG56" s="13" t="s">
        <v>80</v>
      </c>
      <c r="AH56" s="13" t="s">
        <v>81</v>
      </c>
      <c r="AI56" s="13" t="s">
        <v>103</v>
      </c>
      <c r="AJ56" s="14"/>
      <c r="AK56" s="15"/>
      <c r="AL56" s="15"/>
      <c r="AM56" s="15" t="s">
        <v>61</v>
      </c>
      <c r="AN56" s="15" t="s">
        <v>61</v>
      </c>
      <c r="AO56" s="15" t="s">
        <v>61</v>
      </c>
      <c r="AP56" s="15" t="s">
        <v>61</v>
      </c>
      <c r="AQ56" s="22"/>
      <c r="AR56" s="25"/>
      <c r="AS56" s="25"/>
      <c r="AT56" s="25"/>
      <c r="AU56" s="25"/>
      <c r="AV56" s="25"/>
      <c r="AW56" s="25"/>
      <c r="AX56" s="24"/>
    </row>
    <row r="57" spans="1:50" ht="16.5" customHeight="1">
      <c r="A57" s="36" t="s">
        <v>382</v>
      </c>
      <c r="B57" s="28" t="s">
        <v>68</v>
      </c>
      <c r="C57" s="28" t="s">
        <v>69</v>
      </c>
      <c r="D57" s="28"/>
      <c r="E57" s="28" t="s">
        <v>70</v>
      </c>
      <c r="F57" s="28">
        <v>3647</v>
      </c>
      <c r="G57" s="28">
        <v>3</v>
      </c>
      <c r="H57" s="28" t="str">
        <f>IF(ISNUMBER(Table810[[#This Row],[Total Capacity]]),"USBR Enterprise Asset Registry",IF(Table810[[#This Row],[Total Capacity]]="",""))</f>
        <v>USBR Enterprise Asset Registry</v>
      </c>
      <c r="I57" s="28" t="s">
        <v>71</v>
      </c>
      <c r="J57" s="28" t="s">
        <v>72</v>
      </c>
      <c r="K57" s="28"/>
      <c r="L57" s="50">
        <v>35400</v>
      </c>
      <c r="M57" s="48"/>
      <c r="N57" s="50">
        <v>35400</v>
      </c>
      <c r="O57" s="28"/>
      <c r="P57" s="37"/>
      <c r="Q57" s="28">
        <f>IF(OR(Table810[[#This Row],[Post-Review Decision]]="Include", Table810[[#This Row],[Post-Review Decision]]="Include if possible", Table810[[#This Row],[Post-Review Decision]]="Include (Omit % Avg if needed)",  Table810[[#This Row],[Post-Review Decision]]="Include (Omit % Avg)"),Table810[[#This Row],[EAR Total Capacity]],"")</f>
        <v>35400</v>
      </c>
      <c r="R57" s="28">
        <v>35400</v>
      </c>
      <c r="S57" s="46">
        <v>35400</v>
      </c>
      <c r="T57" s="28" t="s">
        <v>383</v>
      </c>
      <c r="U57" s="28" t="s">
        <v>384</v>
      </c>
      <c r="V57" s="13" t="s">
        <v>385</v>
      </c>
      <c r="W57" s="12" t="b">
        <f>ISNUMBER(Table810[[#This Row],[EAR Total Capacity]])</f>
        <v>1</v>
      </c>
      <c r="X57" s="12" t="s">
        <v>75</v>
      </c>
      <c r="Y57" s="12" t="b">
        <f>IFERROR(IF(YEAR(Table810[[#This Row],[RISE Storage End Date]])=2025,TRUE,FALSE),FALSE)</f>
        <v>0</v>
      </c>
      <c r="Z57" s="11" t="b">
        <v>0</v>
      </c>
      <c r="AA57" s="13">
        <v>49</v>
      </c>
      <c r="AB57" s="13" t="s">
        <v>76</v>
      </c>
      <c r="AC57" s="13" t="s">
        <v>383</v>
      </c>
      <c r="AD57" s="13" t="s">
        <v>382</v>
      </c>
      <c r="AE57" s="13" t="s">
        <v>78</v>
      </c>
      <c r="AF57" s="13" t="s">
        <v>386</v>
      </c>
      <c r="AG57" s="13" t="s">
        <v>80</v>
      </c>
      <c r="AH57" s="13" t="s">
        <v>81</v>
      </c>
      <c r="AI57" s="13" t="s">
        <v>93</v>
      </c>
      <c r="AJ57" s="19">
        <v>35400</v>
      </c>
      <c r="AK57" s="18"/>
      <c r="AL57" s="18"/>
      <c r="AM57" s="13" t="s">
        <v>387</v>
      </c>
      <c r="AN57" s="13" t="s">
        <v>84</v>
      </c>
      <c r="AO57" s="13" t="s">
        <v>382</v>
      </c>
      <c r="AP57" s="13" t="s">
        <v>383</v>
      </c>
      <c r="AQ57" s="21" t="s">
        <v>64</v>
      </c>
      <c r="AR57" s="25"/>
      <c r="AS57" s="25"/>
      <c r="AT57" s="25"/>
      <c r="AU57" s="25"/>
      <c r="AV57" s="25"/>
      <c r="AW57" s="25"/>
      <c r="AX57" s="24"/>
    </row>
    <row r="58" spans="1:50" ht="16.5" customHeight="1">
      <c r="A58" s="36" t="s">
        <v>388</v>
      </c>
      <c r="B58" s="28"/>
      <c r="C58" s="28" t="s">
        <v>97</v>
      </c>
      <c r="D58" s="28"/>
      <c r="E58" s="28"/>
      <c r="F58" s="28" t="s">
        <v>61</v>
      </c>
      <c r="G58" s="28"/>
      <c r="H58" s="28" t="str">
        <f>IF(ISNUMBER(Table810[[#This Row],[Total Capacity]]),"USBR Enterprise Asset Registry",IF(Table810[[#This Row],[Total Capacity]]="",""))</f>
        <v/>
      </c>
      <c r="I58" s="28"/>
      <c r="J58" s="28"/>
      <c r="K58" s="28"/>
      <c r="L58" s="50" t="s">
        <v>98</v>
      </c>
      <c r="M58" s="48"/>
      <c r="N58" s="50" t="s">
        <v>98</v>
      </c>
      <c r="O58" s="28"/>
      <c r="P58" s="37"/>
      <c r="Q58" s="28" t="str">
        <f>IF(OR(Table810[[#This Row],[Post-Review Decision]]="Include", Table810[[#This Row],[Post-Review Decision]]="Include if possible", Table810[[#This Row],[Post-Review Decision]]="Include (Omit % Avg if needed)",  Table810[[#This Row],[Post-Review Decision]]="Include (Omit % Avg)"),Table810[[#This Row],[EAR Total Capacity]],"")</f>
        <v/>
      </c>
      <c r="R58" s="28">
        <v>12500</v>
      </c>
      <c r="S58" s="45">
        <v>0</v>
      </c>
      <c r="T58" s="28"/>
      <c r="U58" s="28"/>
      <c r="V58" s="13" t="s">
        <v>176</v>
      </c>
      <c r="W58" s="12" t="b">
        <f>ISNUMBER(Table810[[#This Row],[EAR Total Capacity]])</f>
        <v>1</v>
      </c>
      <c r="X58" s="12" t="b">
        <f>IF(Table810[[#This Row],[Has  Storage for Full Averaging Period?]]="OK",TRUE,FALSE)</f>
        <v>0</v>
      </c>
      <c r="Y58" s="12" t="b">
        <f>IFERROR(IF(YEAR(Table810[[#This Row],[RISE Storage End Date]])=2025,TRUE,FALSE),FALSE)</f>
        <v>0</v>
      </c>
      <c r="Z58" s="11" t="b">
        <v>0</v>
      </c>
      <c r="AA58" s="13">
        <v>50</v>
      </c>
      <c r="AB58" s="13" t="s">
        <v>76</v>
      </c>
      <c r="AC58" s="13" t="s">
        <v>389</v>
      </c>
      <c r="AD58" s="13" t="s">
        <v>388</v>
      </c>
      <c r="AE58" s="13" t="s">
        <v>78</v>
      </c>
      <c r="AF58" s="13" t="s">
        <v>390</v>
      </c>
      <c r="AG58" s="13" t="s">
        <v>179</v>
      </c>
      <c r="AH58" s="13" t="s">
        <v>180</v>
      </c>
      <c r="AI58" s="13" t="s">
        <v>93</v>
      </c>
      <c r="AJ58" s="14">
        <v>12500</v>
      </c>
      <c r="AK58" s="15"/>
      <c r="AL58" s="15"/>
      <c r="AM58" s="15" t="s">
        <v>61</v>
      </c>
      <c r="AN58" s="15" t="s">
        <v>61</v>
      </c>
      <c r="AO58" s="15" t="s">
        <v>61</v>
      </c>
      <c r="AP58" s="15" t="s">
        <v>61</v>
      </c>
      <c r="AQ58" s="21" t="s">
        <v>136</v>
      </c>
      <c r="AR58" s="25"/>
      <c r="AS58" s="25"/>
      <c r="AT58" s="25"/>
      <c r="AU58" s="25"/>
      <c r="AV58" s="25"/>
      <c r="AW58" s="25"/>
      <c r="AX58" s="24"/>
    </row>
    <row r="59" spans="1:50" ht="16.5" customHeight="1">
      <c r="A59" s="36" t="s">
        <v>391</v>
      </c>
      <c r="B59" s="28" t="s">
        <v>68</v>
      </c>
      <c r="C59" s="28" t="s">
        <v>86</v>
      </c>
      <c r="D59" s="28"/>
      <c r="E59" s="28" t="s">
        <v>70</v>
      </c>
      <c r="F59" s="28">
        <v>286</v>
      </c>
      <c r="G59" s="28">
        <v>3</v>
      </c>
      <c r="H59" s="28" t="str">
        <f>IF(ISNUMBER(Table810[[#This Row],[Total Capacity]]),"USBR Enterprise Asset Registry",IF(Table810[[#This Row],[Total Capacity]]="",""))</f>
        <v>USBR Enterprise Asset Registry</v>
      </c>
      <c r="I59" s="28" t="s">
        <v>57</v>
      </c>
      <c r="J59" s="28" t="s">
        <v>127</v>
      </c>
      <c r="K59" s="28">
        <v>100045.5</v>
      </c>
      <c r="L59" s="50">
        <v>224464</v>
      </c>
      <c r="M59" s="48"/>
      <c r="N59" s="50">
        <v>224464</v>
      </c>
      <c r="O59" s="28"/>
      <c r="P59" s="37"/>
      <c r="Q59" s="28">
        <f>IF(OR(Table810[[#This Row],[Post-Review Decision]]="Include", Table810[[#This Row],[Post-Review Decision]]="Include if possible", Table810[[#This Row],[Post-Review Decision]]="Include (Omit % Avg if needed)",  Table810[[#This Row],[Post-Review Decision]]="Include (Omit % Avg)"),Table810[[#This Row],[EAR Total Capacity]],"")</f>
        <v>324509</v>
      </c>
      <c r="R59" s="28">
        <v>324509</v>
      </c>
      <c r="S59" s="46">
        <v>324509</v>
      </c>
      <c r="T59" s="28" t="s">
        <v>391</v>
      </c>
      <c r="U59" s="28" t="s">
        <v>392</v>
      </c>
      <c r="V59" s="13" t="s">
        <v>393</v>
      </c>
      <c r="W59" s="12" t="b">
        <f>ISNUMBER(Table810[[#This Row],[EAR Total Capacity]])</f>
        <v>1</v>
      </c>
      <c r="X59" s="12" t="b">
        <f>IF(Table810[[#This Row],[Has  Storage for Full Averaging Period?]]="OK",TRUE,FALSE)</f>
        <v>1</v>
      </c>
      <c r="Y59" s="12" t="b">
        <f>IFERROR(IF(YEAR(Table810[[#This Row],[RISE Storage End Date]])=2025,TRUE,FALSE),FALSE)</f>
        <v>1</v>
      </c>
      <c r="Z59" s="11" t="b">
        <v>0</v>
      </c>
      <c r="AA59" s="13">
        <v>51</v>
      </c>
      <c r="AB59" s="13" t="s">
        <v>76</v>
      </c>
      <c r="AC59" s="13" t="s">
        <v>394</v>
      </c>
      <c r="AD59" s="13" t="s">
        <v>391</v>
      </c>
      <c r="AE59" s="13" t="s">
        <v>78</v>
      </c>
      <c r="AF59" s="13" t="s">
        <v>395</v>
      </c>
      <c r="AG59" s="13" t="s">
        <v>91</v>
      </c>
      <c r="AH59" s="13" t="s">
        <v>102</v>
      </c>
      <c r="AI59" s="13" t="s">
        <v>93</v>
      </c>
      <c r="AJ59" s="14">
        <v>324509</v>
      </c>
      <c r="AK59" s="18"/>
      <c r="AL59" s="18"/>
      <c r="AM59" s="13" t="s">
        <v>396</v>
      </c>
      <c r="AN59" s="13" t="s">
        <v>63</v>
      </c>
      <c r="AO59" s="13" t="s">
        <v>391</v>
      </c>
      <c r="AP59" s="13" t="s">
        <v>391</v>
      </c>
      <c r="AQ59" s="21" t="s">
        <v>64</v>
      </c>
      <c r="AR59" s="26">
        <v>13919</v>
      </c>
      <c r="AS59" s="26">
        <v>46007</v>
      </c>
      <c r="AT59" s="25">
        <v>32090</v>
      </c>
      <c r="AU59" s="25" t="s">
        <v>65</v>
      </c>
      <c r="AV59" s="25" t="s">
        <v>65</v>
      </c>
      <c r="AW59" s="25" t="s">
        <v>65</v>
      </c>
      <c r="AX59" s="24"/>
    </row>
    <row r="60" spans="1:50" ht="16.5" customHeight="1">
      <c r="A60" s="36" t="s">
        <v>397</v>
      </c>
      <c r="B60" s="28" t="s">
        <v>68</v>
      </c>
      <c r="C60" s="28" t="s">
        <v>86</v>
      </c>
      <c r="D60" s="28"/>
      <c r="E60" s="28" t="s">
        <v>70</v>
      </c>
      <c r="F60" s="28">
        <v>292</v>
      </c>
      <c r="G60" s="28">
        <v>3</v>
      </c>
      <c r="H60" s="28" t="str">
        <f>IF(ISNUMBER(Table810[[#This Row],[Total Capacity]]),"USBR Enterprise Asset Registry",IF(Table810[[#This Row],[Total Capacity]]="",""))</f>
        <v>USBR Enterprise Asset Registry</v>
      </c>
      <c r="I60" s="28" t="s">
        <v>57</v>
      </c>
      <c r="J60" s="28"/>
      <c r="K60" s="28"/>
      <c r="L60" s="50">
        <v>193305</v>
      </c>
      <c r="M60" s="48">
        <v>192978</v>
      </c>
      <c r="N60" s="50">
        <v>192978</v>
      </c>
      <c r="O60" s="28"/>
      <c r="P60" s="37"/>
      <c r="Q60" s="28">
        <f>IF(OR(Table810[[#This Row],[Post-Review Decision]]="Include", Table810[[#This Row],[Post-Review Decision]]="Include if possible", Table810[[#This Row],[Post-Review Decision]]="Include (Omit % Avg if needed)",  Table810[[#This Row],[Post-Review Decision]]="Include (Omit % Avg)"),Table810[[#This Row],[EAR Total Capacity]],"")</f>
        <v>193305</v>
      </c>
      <c r="R60" s="28">
        <v>171193</v>
      </c>
      <c r="S60" s="46">
        <v>193208</v>
      </c>
      <c r="T60" s="28" t="s">
        <v>398</v>
      </c>
      <c r="U60" s="28" t="s">
        <v>399</v>
      </c>
      <c r="V60" s="13" t="s">
        <v>400</v>
      </c>
      <c r="W60" s="12" t="b">
        <f>ISNUMBER(Table810[[#This Row],[EAR Total Capacity]])</f>
        <v>1</v>
      </c>
      <c r="X60" s="12" t="b">
        <f>IF(Table810[[#This Row],[Has  Storage for Full Averaging Period?]]="OK",TRUE,FALSE)</f>
        <v>1</v>
      </c>
      <c r="Y60" s="12" t="b">
        <f>IFERROR(IF(YEAR(Table810[[#This Row],[RISE Storage End Date]])=2025,TRUE,FALSE),FALSE)</f>
        <v>1</v>
      </c>
      <c r="Z60" s="11" t="b">
        <v>0</v>
      </c>
      <c r="AA60" s="13">
        <v>207</v>
      </c>
      <c r="AB60" s="13" t="s">
        <v>76</v>
      </c>
      <c r="AC60" s="13" t="s">
        <v>401</v>
      </c>
      <c r="AD60" s="13" t="s">
        <v>397</v>
      </c>
      <c r="AE60" s="13" t="s">
        <v>78</v>
      </c>
      <c r="AF60" s="13" t="s">
        <v>402</v>
      </c>
      <c r="AG60" s="13" t="s">
        <v>179</v>
      </c>
      <c r="AH60" s="13" t="s">
        <v>160</v>
      </c>
      <c r="AI60" s="13" t="s">
        <v>93</v>
      </c>
      <c r="AJ60" s="14">
        <v>193305</v>
      </c>
      <c r="AK60" s="18"/>
      <c r="AL60" s="18"/>
      <c r="AM60" s="13" t="s">
        <v>403</v>
      </c>
      <c r="AN60" s="13" t="s">
        <v>246</v>
      </c>
      <c r="AO60" s="13" t="s">
        <v>397</v>
      </c>
      <c r="AP60" s="13" t="s">
        <v>404</v>
      </c>
      <c r="AQ60" s="21" t="s">
        <v>64</v>
      </c>
      <c r="AR60" s="26">
        <v>19315</v>
      </c>
      <c r="AS60" s="26">
        <v>46007</v>
      </c>
      <c r="AT60" s="25">
        <v>26691</v>
      </c>
      <c r="AU60" s="25" t="s">
        <v>65</v>
      </c>
      <c r="AV60" s="25" t="s">
        <v>65</v>
      </c>
      <c r="AW60" s="25" t="s">
        <v>65</v>
      </c>
      <c r="AX60" s="24"/>
    </row>
    <row r="61" spans="1:50" ht="16.5" customHeight="1">
      <c r="A61" s="36" t="s">
        <v>405</v>
      </c>
      <c r="B61" s="28"/>
      <c r="C61" s="28" t="s">
        <v>97</v>
      </c>
      <c r="D61" s="28"/>
      <c r="E61" s="28"/>
      <c r="F61" s="28" t="s">
        <v>61</v>
      </c>
      <c r="G61" s="28"/>
      <c r="H61" s="28" t="str">
        <f>IF(ISNUMBER(Table810[[#This Row],[Total Capacity]]),"USBR Enterprise Asset Registry",IF(Table810[[#This Row],[Total Capacity]]="",""))</f>
        <v/>
      </c>
      <c r="I61" s="28"/>
      <c r="J61" s="28"/>
      <c r="K61" s="28"/>
      <c r="L61" s="50" t="s">
        <v>98</v>
      </c>
      <c r="M61" s="48"/>
      <c r="N61" s="50" t="s">
        <v>98</v>
      </c>
      <c r="O61" s="28"/>
      <c r="P61" s="37"/>
      <c r="Q61" s="28" t="str">
        <f>IF(OR(Table810[[#This Row],[Post-Review Decision]]="Include", Table810[[#This Row],[Post-Review Decision]]="Include if possible", Table810[[#This Row],[Post-Review Decision]]="Include (Omit % Avg if needed)",  Table810[[#This Row],[Post-Review Decision]]="Include (Omit % Avg)"),Table810[[#This Row],[EAR Total Capacity]],"")</f>
        <v/>
      </c>
      <c r="R61" s="28"/>
      <c r="S61" s="45">
        <v>0</v>
      </c>
      <c r="T61" s="28"/>
      <c r="U61" s="28"/>
      <c r="V61" s="13" t="s">
        <v>406</v>
      </c>
      <c r="W61" s="12" t="b">
        <f>ISNUMBER(Table810[[#This Row],[EAR Total Capacity]])</f>
        <v>1</v>
      </c>
      <c r="X61" s="12" t="b">
        <f>IF(Table810[[#This Row],[Has  Storage for Full Averaging Period?]]="OK",TRUE,FALSE)</f>
        <v>0</v>
      </c>
      <c r="Y61" s="12" t="b">
        <f>IFERROR(IF(YEAR(Table810[[#This Row],[RISE Storage End Date]])=2025,TRUE,FALSE),FALSE)</f>
        <v>0</v>
      </c>
      <c r="Z61" s="11" t="b">
        <v>0</v>
      </c>
      <c r="AA61" s="13">
        <v>208</v>
      </c>
      <c r="AB61" s="13" t="s">
        <v>76</v>
      </c>
      <c r="AC61" s="13" t="s">
        <v>407</v>
      </c>
      <c r="AD61" s="13" t="s">
        <v>405</v>
      </c>
      <c r="AE61" s="13" t="s">
        <v>78</v>
      </c>
      <c r="AF61" s="13" t="s">
        <v>408</v>
      </c>
      <c r="AG61" s="13" t="s">
        <v>179</v>
      </c>
      <c r="AH61" s="13" t="s">
        <v>180</v>
      </c>
      <c r="AI61" s="13" t="s">
        <v>93</v>
      </c>
      <c r="AJ61" s="14">
        <v>1200</v>
      </c>
      <c r="AK61" s="15"/>
      <c r="AL61" s="15"/>
      <c r="AM61" s="15" t="s">
        <v>61</v>
      </c>
      <c r="AN61" s="15" t="s">
        <v>61</v>
      </c>
      <c r="AO61" s="15" t="s">
        <v>61</v>
      </c>
      <c r="AP61" s="15" t="s">
        <v>61</v>
      </c>
      <c r="AQ61" s="21" t="s">
        <v>136</v>
      </c>
      <c r="AR61" s="25"/>
      <c r="AS61" s="25"/>
      <c r="AT61" s="25"/>
      <c r="AU61" s="25"/>
      <c r="AV61" s="25"/>
      <c r="AW61" s="25"/>
      <c r="AX61" s="24"/>
    </row>
    <row r="62" spans="1:50" ht="16.5" customHeight="1">
      <c r="A62" s="36" t="s">
        <v>409</v>
      </c>
      <c r="B62" s="28" t="s">
        <v>68</v>
      </c>
      <c r="C62" s="29" t="s">
        <v>321</v>
      </c>
      <c r="D62" s="29"/>
      <c r="E62" s="28" t="s">
        <v>70</v>
      </c>
      <c r="F62" s="28">
        <v>287</v>
      </c>
      <c r="G62" s="28">
        <v>3</v>
      </c>
      <c r="H62" s="29" t="str">
        <f>IF(ISNUMBER(Table810[[#This Row],[Total Capacity]]),"USBR Enterprise Asset Registry",IF(Table810[[#This Row],[Total Capacity]]="",""))</f>
        <v>USBR Enterprise Asset Registry</v>
      </c>
      <c r="I62" s="28" t="s">
        <v>57</v>
      </c>
      <c r="J62" s="28" t="s">
        <v>72</v>
      </c>
      <c r="K62" s="28"/>
      <c r="L62" s="50">
        <v>119469</v>
      </c>
      <c r="M62" s="48"/>
      <c r="N62" s="50">
        <v>119469</v>
      </c>
      <c r="O62" s="28"/>
      <c r="P62" s="38" t="s">
        <v>410</v>
      </c>
      <c r="Q62" s="29">
        <f>IF(OR(Table810[[#This Row],[Post-Review Decision]]="Include", Table810[[#This Row],[Post-Review Decision]]="Include if possible", Table810[[#This Row],[Post-Review Decision]]="Include (Omit % Avg if needed)",  Table810[[#This Row],[Post-Review Decision]]="Include (Omit % Avg)"),Table810[[#This Row],[EAR Total Capacity]],"")</f>
        <v>119469</v>
      </c>
      <c r="R62" s="29">
        <v>99319</v>
      </c>
      <c r="S62" s="46">
        <v>119434</v>
      </c>
      <c r="T62" s="29" t="s">
        <v>411</v>
      </c>
      <c r="U62" s="29" t="s">
        <v>412</v>
      </c>
      <c r="V62" s="13" t="s">
        <v>413</v>
      </c>
      <c r="W62" s="12" t="b">
        <f>ISNUMBER(Table810[[#This Row],[EAR Total Capacity]])</f>
        <v>1</v>
      </c>
      <c r="X62" s="12" t="b">
        <f>IF(Table810[[#This Row],[Has  Storage for Full Averaging Period?]]="OK",TRUE,FALSE)</f>
        <v>0</v>
      </c>
      <c r="Y62" s="12" t="b">
        <f>IFERROR(IF(YEAR(Table810[[#This Row],[RISE Storage End Date]])=2025,TRUE,FALSE),FALSE)</f>
        <v>1</v>
      </c>
      <c r="Z62" s="11" t="b">
        <v>0</v>
      </c>
      <c r="AA62" s="13">
        <v>52</v>
      </c>
      <c r="AB62" s="13" t="s">
        <v>76</v>
      </c>
      <c r="AC62" s="13" t="s">
        <v>414</v>
      </c>
      <c r="AD62" s="13" t="s">
        <v>409</v>
      </c>
      <c r="AE62" s="13" t="s">
        <v>78</v>
      </c>
      <c r="AF62" s="13" t="s">
        <v>415</v>
      </c>
      <c r="AG62" s="13" t="s">
        <v>109</v>
      </c>
      <c r="AH62" s="13" t="s">
        <v>92</v>
      </c>
      <c r="AI62" s="13" t="s">
        <v>93</v>
      </c>
      <c r="AJ62" s="13">
        <v>119469</v>
      </c>
      <c r="AK62" s="18"/>
      <c r="AL62" s="18"/>
      <c r="AM62" s="13" t="s">
        <v>416</v>
      </c>
      <c r="AN62" s="13" t="s">
        <v>95</v>
      </c>
      <c r="AO62" s="13" t="s">
        <v>409</v>
      </c>
      <c r="AP62" s="13" t="s">
        <v>417</v>
      </c>
      <c r="AQ62" s="21" t="s">
        <v>64</v>
      </c>
      <c r="AR62" s="26">
        <v>34120</v>
      </c>
      <c r="AS62" s="26">
        <v>46007</v>
      </c>
      <c r="AT62" s="25">
        <v>10454</v>
      </c>
      <c r="AU62" s="25" t="s">
        <v>66</v>
      </c>
      <c r="AV62" s="25" t="s">
        <v>65</v>
      </c>
      <c r="AW62" s="25" t="s">
        <v>66</v>
      </c>
      <c r="AX62" s="24"/>
    </row>
    <row r="63" spans="1:50" ht="16.5" customHeight="1">
      <c r="A63" s="36" t="s">
        <v>418</v>
      </c>
      <c r="B63" s="28"/>
      <c r="C63" s="28" t="s">
        <v>97</v>
      </c>
      <c r="D63" s="28"/>
      <c r="E63" s="28"/>
      <c r="F63" s="28" t="s">
        <v>61</v>
      </c>
      <c r="G63" s="28"/>
      <c r="H63" s="28" t="str">
        <f>IF(ISNUMBER(Table810[[#This Row],[Total Capacity]]),"USBR Enterprise Asset Registry",IF(Table810[[#This Row],[Total Capacity]]="",""))</f>
        <v/>
      </c>
      <c r="I63" s="28"/>
      <c r="J63" s="28"/>
      <c r="K63" s="28"/>
      <c r="L63" s="50" t="s">
        <v>98</v>
      </c>
      <c r="M63" s="48"/>
      <c r="N63" s="50" t="s">
        <v>98</v>
      </c>
      <c r="O63" s="28"/>
      <c r="P63" s="37" t="s">
        <v>419</v>
      </c>
      <c r="Q63" s="28" t="str">
        <f>IF(OR(Table810[[#This Row],[Post-Review Decision]]="Include", Table810[[#This Row],[Post-Review Decision]]="Include if possible", Table810[[#This Row],[Post-Review Decision]]="Include (Omit % Avg if needed)",  Table810[[#This Row],[Post-Review Decision]]="Include (Omit % Avg)"),Table810[[#This Row],[EAR Total Capacity]],"")</f>
        <v/>
      </c>
      <c r="R63" s="28"/>
      <c r="S63" s="45">
        <v>0</v>
      </c>
      <c r="T63" s="28"/>
      <c r="U63" s="28"/>
      <c r="V63" s="13" t="s">
        <v>220</v>
      </c>
      <c r="W63" s="12" t="b">
        <f>ISNUMBER(Table810[[#This Row],[EAR Total Capacity]])</f>
        <v>0</v>
      </c>
      <c r="X63" s="12" t="b">
        <f>IF(Table810[[#This Row],[Has  Storage for Full Averaging Period?]]="OK",TRUE,FALSE)</f>
        <v>0</v>
      </c>
      <c r="Y63" s="12" t="b">
        <f>IFERROR(IF(YEAR(Table810[[#This Row],[RISE Storage End Date]])=2025,TRUE,FALSE),FALSE)</f>
        <v>0</v>
      </c>
      <c r="Z63" s="11" t="b">
        <v>0</v>
      </c>
      <c r="AA63" s="13">
        <v>53</v>
      </c>
      <c r="AB63" s="13" t="s">
        <v>76</v>
      </c>
      <c r="AC63" s="13" t="s">
        <v>420</v>
      </c>
      <c r="AD63" s="13" t="s">
        <v>418</v>
      </c>
      <c r="AE63" s="13" t="s">
        <v>101</v>
      </c>
      <c r="AF63" s="13" t="s">
        <v>421</v>
      </c>
      <c r="AG63" s="13" t="s">
        <v>109</v>
      </c>
      <c r="AH63" s="13" t="s">
        <v>92</v>
      </c>
      <c r="AI63" s="13" t="s">
        <v>103</v>
      </c>
      <c r="AJ63" s="14"/>
      <c r="AK63" s="15"/>
      <c r="AL63" s="15"/>
      <c r="AM63" s="15" t="s">
        <v>61</v>
      </c>
      <c r="AN63" s="15" t="s">
        <v>61</v>
      </c>
      <c r="AO63" s="15" t="s">
        <v>61</v>
      </c>
      <c r="AP63" s="15" t="s">
        <v>61</v>
      </c>
      <c r="AQ63" s="22"/>
      <c r="AR63" s="25"/>
      <c r="AS63" s="25"/>
      <c r="AT63" s="25"/>
      <c r="AU63" s="25"/>
      <c r="AV63" s="25"/>
      <c r="AW63" s="25"/>
      <c r="AX63" s="24"/>
    </row>
    <row r="64" spans="1:50" ht="16.5" customHeight="1">
      <c r="A64" s="36" t="s">
        <v>422</v>
      </c>
      <c r="B64" s="28"/>
      <c r="C64" s="28" t="s">
        <v>97</v>
      </c>
      <c r="D64" s="28"/>
      <c r="E64" s="28"/>
      <c r="F64" s="28" t="s">
        <v>61</v>
      </c>
      <c r="G64" s="28"/>
      <c r="H64" s="28" t="str">
        <f>IF(ISNUMBER(Table810[[#This Row],[Total Capacity]]),"USBR Enterprise Asset Registry",IF(Table810[[#This Row],[Total Capacity]]="",""))</f>
        <v/>
      </c>
      <c r="I64" s="28"/>
      <c r="J64" s="28"/>
      <c r="K64" s="28"/>
      <c r="L64" s="50" t="s">
        <v>98</v>
      </c>
      <c r="M64" s="48"/>
      <c r="N64" s="50" t="s">
        <v>98</v>
      </c>
      <c r="O64" s="28"/>
      <c r="P64" s="37"/>
      <c r="Q64" s="28" t="str">
        <f>IF(OR(Table810[[#This Row],[Post-Review Decision]]="Include", Table810[[#This Row],[Post-Review Decision]]="Include if possible", Table810[[#This Row],[Post-Review Decision]]="Include (Omit % Avg if needed)",  Table810[[#This Row],[Post-Review Decision]]="Include (Omit % Avg)"),Table810[[#This Row],[EAR Total Capacity]],"")</f>
        <v/>
      </c>
      <c r="R64" s="28"/>
      <c r="S64" s="45">
        <v>0</v>
      </c>
      <c r="T64" s="28"/>
      <c r="U64" s="28"/>
      <c r="V64" s="13" t="s">
        <v>370</v>
      </c>
      <c r="W64" s="12" t="b">
        <f>ISNUMBER(Table810[[#This Row],[EAR Total Capacity]])</f>
        <v>0</v>
      </c>
      <c r="X64" s="12" t="b">
        <f>IF(Table810[[#This Row],[Has  Storage for Full Averaging Period?]]="OK",TRUE,FALSE)</f>
        <v>0</v>
      </c>
      <c r="Y64" s="12" t="b">
        <f>IFERROR(IF(YEAR(Table810[[#This Row],[RISE Storage End Date]])=2025,TRUE,FALSE),FALSE)</f>
        <v>0</v>
      </c>
      <c r="Z64" s="11" t="b">
        <v>0</v>
      </c>
      <c r="AA64" s="13">
        <v>209</v>
      </c>
      <c r="AB64" s="13" t="s">
        <v>76</v>
      </c>
      <c r="AC64" s="13" t="s">
        <v>423</v>
      </c>
      <c r="AD64" s="13" t="s">
        <v>422</v>
      </c>
      <c r="AE64" s="13" t="s">
        <v>78</v>
      </c>
      <c r="AF64" s="13" t="s">
        <v>424</v>
      </c>
      <c r="AG64" s="13" t="s">
        <v>91</v>
      </c>
      <c r="AH64" s="13" t="s">
        <v>92</v>
      </c>
      <c r="AI64" s="13" t="s">
        <v>110</v>
      </c>
      <c r="AJ64" s="14"/>
      <c r="AK64" s="15"/>
      <c r="AL64" s="15"/>
      <c r="AM64" s="15" t="s">
        <v>61</v>
      </c>
      <c r="AN64" s="15" t="s">
        <v>61</v>
      </c>
      <c r="AO64" s="15" t="s">
        <v>61</v>
      </c>
      <c r="AP64" s="15" t="s">
        <v>61</v>
      </c>
      <c r="AQ64" s="21" t="s">
        <v>136</v>
      </c>
      <c r="AR64" s="25"/>
      <c r="AS64" s="25"/>
      <c r="AT64" s="25"/>
      <c r="AU64" s="25"/>
      <c r="AV64" s="25"/>
      <c r="AW64" s="25"/>
      <c r="AX64" s="24"/>
    </row>
    <row r="65" spans="1:50" ht="16.5" customHeight="1">
      <c r="A65" s="36" t="s">
        <v>425</v>
      </c>
      <c r="B65" s="28"/>
      <c r="C65" s="28" t="s">
        <v>97</v>
      </c>
      <c r="D65" s="28"/>
      <c r="E65" s="28"/>
      <c r="F65" s="28" t="s">
        <v>61</v>
      </c>
      <c r="G65" s="28"/>
      <c r="H65" s="28" t="str">
        <f>IF(ISNUMBER(Table810[[#This Row],[Total Capacity]]),"USBR Enterprise Asset Registry",IF(Table810[[#This Row],[Total Capacity]]="",""))</f>
        <v/>
      </c>
      <c r="I65" s="28"/>
      <c r="J65" s="28"/>
      <c r="K65" s="28"/>
      <c r="L65" s="50" t="s">
        <v>98</v>
      </c>
      <c r="M65" s="48"/>
      <c r="N65" s="50" t="s">
        <v>98</v>
      </c>
      <c r="O65" s="28"/>
      <c r="P65" s="37"/>
      <c r="Q65" s="28" t="str">
        <f>IF(OR(Table810[[#This Row],[Post-Review Decision]]="Include", Table810[[#This Row],[Post-Review Decision]]="Include if possible", Table810[[#This Row],[Post-Review Decision]]="Include (Omit % Avg if needed)",  Table810[[#This Row],[Post-Review Decision]]="Include (Omit % Avg)"),Table810[[#This Row],[EAR Total Capacity]],"")</f>
        <v/>
      </c>
      <c r="R65" s="28"/>
      <c r="S65" s="45">
        <v>0</v>
      </c>
      <c r="T65" s="28"/>
      <c r="U65" s="28"/>
      <c r="V65" s="13" t="s">
        <v>176</v>
      </c>
      <c r="W65" s="12" t="b">
        <f>ISNUMBER(Table810[[#This Row],[EAR Total Capacity]])</f>
        <v>1</v>
      </c>
      <c r="X65" s="12" t="b">
        <f>IF(Table810[[#This Row],[Has  Storage for Full Averaging Period?]]="OK",TRUE,FALSE)</f>
        <v>0</v>
      </c>
      <c r="Y65" s="12" t="b">
        <f>IFERROR(IF(YEAR(Table810[[#This Row],[RISE Storage End Date]])=2025,TRUE,FALSE),FALSE)</f>
        <v>0</v>
      </c>
      <c r="Z65" s="11" t="b">
        <v>0</v>
      </c>
      <c r="AA65" s="13">
        <v>56</v>
      </c>
      <c r="AB65" s="13" t="s">
        <v>76</v>
      </c>
      <c r="AC65" s="13" t="s">
        <v>426</v>
      </c>
      <c r="AD65" s="13" t="s">
        <v>425</v>
      </c>
      <c r="AE65" s="13" t="s">
        <v>78</v>
      </c>
      <c r="AF65" s="13" t="s">
        <v>427</v>
      </c>
      <c r="AG65" s="13" t="s">
        <v>179</v>
      </c>
      <c r="AH65" s="13" t="s">
        <v>180</v>
      </c>
      <c r="AI65" s="13" t="s">
        <v>93</v>
      </c>
      <c r="AJ65" s="14">
        <v>57852</v>
      </c>
      <c r="AK65" s="15"/>
      <c r="AL65" s="15"/>
      <c r="AM65" s="15" t="s">
        <v>61</v>
      </c>
      <c r="AN65" s="15" t="s">
        <v>61</v>
      </c>
      <c r="AO65" s="15" t="s">
        <v>61</v>
      </c>
      <c r="AP65" s="15" t="s">
        <v>61</v>
      </c>
      <c r="AQ65" s="21" t="s">
        <v>136</v>
      </c>
      <c r="AR65" s="25"/>
      <c r="AS65" s="25"/>
      <c r="AT65" s="25"/>
      <c r="AU65" s="25"/>
      <c r="AV65" s="25"/>
      <c r="AW65" s="25"/>
      <c r="AX65" s="24"/>
    </row>
    <row r="66" spans="1:50" ht="16.5" customHeight="1">
      <c r="A66" s="36" t="s">
        <v>428</v>
      </c>
      <c r="B66" s="28" t="s">
        <v>68</v>
      </c>
      <c r="C66" s="28" t="s">
        <v>86</v>
      </c>
      <c r="D66" s="28"/>
      <c r="E66" s="28" t="s">
        <v>70</v>
      </c>
      <c r="F66" s="28">
        <v>295</v>
      </c>
      <c r="G66" s="28">
        <v>3</v>
      </c>
      <c r="H66" s="28" t="str">
        <f>IF(ISNUMBER(Table810[[#This Row],[Total Capacity]]),"USBR Enterprise Asset Registry",IF(Table810[[#This Row],[Total Capacity]]="",""))</f>
        <v>USBR Enterprise Asset Registry</v>
      </c>
      <c r="I66" s="28" t="s">
        <v>57</v>
      </c>
      <c r="J66" s="28" t="s">
        <v>127</v>
      </c>
      <c r="K66" s="28">
        <v>106086</v>
      </c>
      <c r="L66" s="50">
        <v>1886950</v>
      </c>
      <c r="M66" s="48"/>
      <c r="N66" s="50">
        <v>1886950</v>
      </c>
      <c r="O66" s="28"/>
      <c r="P66" s="37"/>
      <c r="Q66" s="28">
        <f>IF(OR(Table810[[#This Row],[Post-Review Decision]]="Include", Table810[[#This Row],[Post-Review Decision]]="Include if possible", Table810[[#This Row],[Post-Review Decision]]="Include (Omit % Avg if needed)",  Table810[[#This Row],[Post-Review Decision]]="Include (Omit % Avg)"),Table810[[#This Row],[EAR Total Capacity]],"")</f>
        <v>1993036</v>
      </c>
      <c r="R66" s="28">
        <v>1604395</v>
      </c>
      <c r="S66" s="46">
        <v>1991937</v>
      </c>
      <c r="T66" s="28" t="s">
        <v>428</v>
      </c>
      <c r="U66" s="28" t="s">
        <v>429</v>
      </c>
      <c r="V66" s="13" t="s">
        <v>430</v>
      </c>
      <c r="W66" s="12" t="b">
        <f>ISNUMBER(Table810[[#This Row],[EAR Total Capacity]])</f>
        <v>1</v>
      </c>
      <c r="X66" s="12" t="b">
        <f>IF(Table810[[#This Row],[Has  Storage for Full Averaging Period?]]="OK",TRUE,FALSE)</f>
        <v>1</v>
      </c>
      <c r="Y66" s="12" t="b">
        <f>IFERROR(IF(YEAR(Table810[[#This Row],[RISE Storage End Date]])=2025,TRUE,FALSE),FALSE)</f>
        <v>1</v>
      </c>
      <c r="Z66" s="11" t="b">
        <v>0</v>
      </c>
      <c r="AA66" s="13">
        <v>55</v>
      </c>
      <c r="AB66" s="13" t="s">
        <v>76</v>
      </c>
      <c r="AC66" s="13" t="s">
        <v>431</v>
      </c>
      <c r="AD66" s="13" t="s">
        <v>428</v>
      </c>
      <c r="AE66" s="13" t="s">
        <v>78</v>
      </c>
      <c r="AF66" s="13" t="s">
        <v>432</v>
      </c>
      <c r="AG66" s="13" t="s">
        <v>109</v>
      </c>
      <c r="AH66" s="13" t="s">
        <v>92</v>
      </c>
      <c r="AI66" s="13" t="s">
        <v>93</v>
      </c>
      <c r="AJ66" s="14">
        <v>1993036</v>
      </c>
      <c r="AK66" s="18"/>
      <c r="AL66" s="18"/>
      <c r="AM66" s="13" t="s">
        <v>433</v>
      </c>
      <c r="AN66" s="13" t="s">
        <v>95</v>
      </c>
      <c r="AO66" s="13" t="s">
        <v>428</v>
      </c>
      <c r="AP66" s="13" t="s">
        <v>428</v>
      </c>
      <c r="AQ66" s="21" t="s">
        <v>64</v>
      </c>
      <c r="AR66" s="26">
        <v>19445</v>
      </c>
      <c r="AS66" s="26">
        <v>46007</v>
      </c>
      <c r="AT66" s="25">
        <v>26581</v>
      </c>
      <c r="AU66" s="25" t="s">
        <v>65</v>
      </c>
      <c r="AV66" s="25" t="s">
        <v>65</v>
      </c>
      <c r="AW66" s="25" t="s">
        <v>65</v>
      </c>
      <c r="AX66" s="24"/>
    </row>
    <row r="67" spans="1:50" ht="16.5" customHeight="1">
      <c r="A67" s="36" t="s">
        <v>434</v>
      </c>
      <c r="B67" s="28"/>
      <c r="C67" s="28" t="s">
        <v>97</v>
      </c>
      <c r="D67" s="28"/>
      <c r="E67" s="28"/>
      <c r="F67" s="28" t="s">
        <v>61</v>
      </c>
      <c r="G67" s="28"/>
      <c r="H67" s="28" t="str">
        <f>IF(ISNUMBER(Table810[[#This Row],[Total Capacity]]),"USBR Enterprise Asset Registry",IF(Table810[[#This Row],[Total Capacity]]="",""))</f>
        <v/>
      </c>
      <c r="I67" s="28"/>
      <c r="J67" s="28"/>
      <c r="K67" s="28"/>
      <c r="L67" s="50" t="s">
        <v>98</v>
      </c>
      <c r="M67" s="48"/>
      <c r="N67" s="50" t="s">
        <v>98</v>
      </c>
      <c r="O67" s="28"/>
      <c r="P67" s="37"/>
      <c r="Q67" s="28" t="str">
        <f>IF(OR(Table810[[#This Row],[Post-Review Decision]]="Include", Table810[[#This Row],[Post-Review Decision]]="Include if possible", Table810[[#This Row],[Post-Review Decision]]="Include (Omit % Avg if needed)",  Table810[[#This Row],[Post-Review Decision]]="Include (Omit % Avg)"),Table810[[#This Row],[EAR Total Capacity]],"")</f>
        <v/>
      </c>
      <c r="R67" s="28">
        <v>40</v>
      </c>
      <c r="S67" s="45">
        <v>0</v>
      </c>
      <c r="T67" s="28"/>
      <c r="U67" s="28"/>
      <c r="V67" s="13" t="s">
        <v>400</v>
      </c>
      <c r="W67" s="12" t="b">
        <f>ISNUMBER(Table810[[#This Row],[EAR Total Capacity]])</f>
        <v>1</v>
      </c>
      <c r="X67" s="12" t="b">
        <f>IF(Table810[[#This Row],[Has  Storage for Full Averaging Period?]]="OK",TRUE,FALSE)</f>
        <v>0</v>
      </c>
      <c r="Y67" s="12" t="b">
        <f>IFERROR(IF(YEAR(Table810[[#This Row],[RISE Storage End Date]])=2025,TRUE,FALSE),FALSE)</f>
        <v>0</v>
      </c>
      <c r="Z67" s="11" t="b">
        <v>0</v>
      </c>
      <c r="AA67" s="13">
        <v>58</v>
      </c>
      <c r="AB67" s="13" t="s">
        <v>76</v>
      </c>
      <c r="AC67" s="13" t="s">
        <v>435</v>
      </c>
      <c r="AD67" s="13" t="s">
        <v>434</v>
      </c>
      <c r="AE67" s="13" t="s">
        <v>101</v>
      </c>
      <c r="AF67" s="13" t="s">
        <v>436</v>
      </c>
      <c r="AG67" s="13" t="s">
        <v>179</v>
      </c>
      <c r="AH67" s="13" t="s">
        <v>160</v>
      </c>
      <c r="AI67" s="13" t="s">
        <v>110</v>
      </c>
      <c r="AJ67" s="14">
        <v>40</v>
      </c>
      <c r="AK67" s="15"/>
      <c r="AL67" s="15"/>
      <c r="AM67" s="15" t="s">
        <v>61</v>
      </c>
      <c r="AN67" s="15" t="s">
        <v>61</v>
      </c>
      <c r="AO67" s="15" t="s">
        <v>61</v>
      </c>
      <c r="AP67" s="15" t="s">
        <v>61</v>
      </c>
      <c r="AQ67" s="22"/>
      <c r="AR67" s="25"/>
      <c r="AS67" s="25"/>
      <c r="AT67" s="25"/>
      <c r="AU67" s="25"/>
      <c r="AV67" s="25"/>
      <c r="AW67" s="25"/>
      <c r="AX67" s="24"/>
    </row>
    <row r="68" spans="1:50" ht="16.5" customHeight="1">
      <c r="A68" s="36" t="s">
        <v>437</v>
      </c>
      <c r="B68" s="28"/>
      <c r="C68" s="28" t="s">
        <v>97</v>
      </c>
      <c r="D68" s="28"/>
      <c r="E68" s="28"/>
      <c r="F68" s="28" t="s">
        <v>61</v>
      </c>
      <c r="G68" s="28"/>
      <c r="H68" s="28" t="str">
        <f>IF(ISNUMBER(Table810[[#This Row],[Total Capacity]]),"USBR Enterprise Asset Registry",IF(Table810[[#This Row],[Total Capacity]]="",""))</f>
        <v/>
      </c>
      <c r="I68" s="28"/>
      <c r="J68" s="28"/>
      <c r="K68" s="28"/>
      <c r="L68" s="50" t="s">
        <v>98</v>
      </c>
      <c r="M68" s="48"/>
      <c r="N68" s="50" t="s">
        <v>98</v>
      </c>
      <c r="O68" s="28"/>
      <c r="P68" s="37"/>
      <c r="Q68" s="28" t="str">
        <f>IF(OR(Table810[[#This Row],[Post-Review Decision]]="Include", Table810[[#This Row],[Post-Review Decision]]="Include if possible", Table810[[#This Row],[Post-Review Decision]]="Include (Omit % Avg if needed)",  Table810[[#This Row],[Post-Review Decision]]="Include (Omit % Avg)"),Table810[[#This Row],[EAR Total Capacity]],"")</f>
        <v/>
      </c>
      <c r="R68" s="28"/>
      <c r="S68" s="45">
        <v>0</v>
      </c>
      <c r="T68" s="28"/>
      <c r="U68" s="28"/>
      <c r="V68" s="13" t="s">
        <v>438</v>
      </c>
      <c r="W68" s="12" t="b">
        <f>ISNUMBER(Table810[[#This Row],[EAR Total Capacity]])</f>
        <v>0</v>
      </c>
      <c r="X68" s="12" t="b">
        <f>IF(Table810[[#This Row],[Has  Storage for Full Averaging Period?]]="OK",TRUE,FALSE)</f>
        <v>0</v>
      </c>
      <c r="Y68" s="12" t="b">
        <f>IFERROR(IF(YEAR(Table810[[#This Row],[RISE Storage End Date]])=2025,TRUE,FALSE),FALSE)</f>
        <v>0</v>
      </c>
      <c r="Z68" s="11" t="b">
        <v>0</v>
      </c>
      <c r="AA68" s="13">
        <v>59</v>
      </c>
      <c r="AB68" s="13" t="s">
        <v>76</v>
      </c>
      <c r="AC68" s="13" t="s">
        <v>439</v>
      </c>
      <c r="AD68" s="13" t="s">
        <v>437</v>
      </c>
      <c r="AE68" s="13" t="s">
        <v>78</v>
      </c>
      <c r="AF68" s="13" t="s">
        <v>440</v>
      </c>
      <c r="AG68" s="13" t="s">
        <v>159</v>
      </c>
      <c r="AH68" s="13" t="s">
        <v>160</v>
      </c>
      <c r="AI68" s="13" t="s">
        <v>103</v>
      </c>
      <c r="AJ68" s="14"/>
      <c r="AK68" s="15"/>
      <c r="AL68" s="15"/>
      <c r="AM68" s="15" t="s">
        <v>61</v>
      </c>
      <c r="AN68" s="15" t="s">
        <v>61</v>
      </c>
      <c r="AO68" s="15" t="s">
        <v>61</v>
      </c>
      <c r="AP68" s="15" t="s">
        <v>61</v>
      </c>
      <c r="AQ68" s="21" t="s">
        <v>136</v>
      </c>
      <c r="AR68" s="25"/>
      <c r="AS68" s="25"/>
      <c r="AT68" s="25"/>
      <c r="AU68" s="25"/>
      <c r="AV68" s="25"/>
      <c r="AW68" s="25"/>
      <c r="AX68" s="24"/>
    </row>
    <row r="69" spans="1:50" ht="16.5" customHeight="1">
      <c r="A69" s="36" t="s">
        <v>441</v>
      </c>
      <c r="B69" s="28"/>
      <c r="C69" s="28" t="s">
        <v>97</v>
      </c>
      <c r="D69" s="28"/>
      <c r="E69" s="28"/>
      <c r="F69" s="28" t="s">
        <v>61</v>
      </c>
      <c r="G69" s="28"/>
      <c r="H69" s="28" t="str">
        <f>IF(ISNUMBER(Table810[[#This Row],[Total Capacity]]),"USBR Enterprise Asset Registry",IF(Table810[[#This Row],[Total Capacity]]="",""))</f>
        <v/>
      </c>
      <c r="I69" s="28"/>
      <c r="J69" s="28"/>
      <c r="K69" s="28"/>
      <c r="L69" s="50" t="s">
        <v>98</v>
      </c>
      <c r="M69" s="48"/>
      <c r="N69" s="50" t="s">
        <v>98</v>
      </c>
      <c r="O69" s="28"/>
      <c r="P69" s="37"/>
      <c r="Q69" s="28" t="str">
        <f>IF(OR(Table810[[#This Row],[Post-Review Decision]]="Include", Table810[[#This Row],[Post-Review Decision]]="Include if possible", Table810[[#This Row],[Post-Review Decision]]="Include (Omit % Avg if needed)",  Table810[[#This Row],[Post-Review Decision]]="Include (Omit % Avg)"),Table810[[#This Row],[EAR Total Capacity]],"")</f>
        <v/>
      </c>
      <c r="R69" s="28"/>
      <c r="S69" s="45">
        <v>0</v>
      </c>
      <c r="T69" s="28"/>
      <c r="U69" s="28"/>
      <c r="V69" s="13" t="s">
        <v>442</v>
      </c>
      <c r="W69" s="12" t="b">
        <f>ISNUMBER(Table810[[#This Row],[EAR Total Capacity]])</f>
        <v>0</v>
      </c>
      <c r="X69" s="12" t="b">
        <f>IF(Table810[[#This Row],[Has  Storage for Full Averaging Period?]]="OK",TRUE,FALSE)</f>
        <v>0</v>
      </c>
      <c r="Y69" s="12" t="b">
        <f>IFERROR(IF(YEAR(Table810[[#This Row],[RISE Storage End Date]])=2025,TRUE,FALSE),FALSE)</f>
        <v>0</v>
      </c>
      <c r="Z69" s="11" t="b">
        <v>0</v>
      </c>
      <c r="AA69" s="13">
        <v>841</v>
      </c>
      <c r="AB69" s="13" t="s">
        <v>76</v>
      </c>
      <c r="AC69" s="13" t="s">
        <v>443</v>
      </c>
      <c r="AD69" s="13" t="s">
        <v>441</v>
      </c>
      <c r="AE69" s="13" t="s">
        <v>101</v>
      </c>
      <c r="AF69" s="13" t="s">
        <v>444</v>
      </c>
      <c r="AG69" s="13" t="s">
        <v>91</v>
      </c>
      <c r="AH69" s="13" t="s">
        <v>92</v>
      </c>
      <c r="AI69" s="13" t="s">
        <v>103</v>
      </c>
      <c r="AJ69" s="13"/>
      <c r="AK69" s="15"/>
      <c r="AL69" s="15"/>
      <c r="AM69" s="15" t="s">
        <v>61</v>
      </c>
      <c r="AN69" s="15" t="s">
        <v>61</v>
      </c>
      <c r="AO69" s="15" t="s">
        <v>61</v>
      </c>
      <c r="AP69" s="15" t="s">
        <v>61</v>
      </c>
      <c r="AQ69" s="22"/>
      <c r="AR69" s="25"/>
      <c r="AS69" s="25"/>
      <c r="AT69" s="25"/>
      <c r="AU69" s="25"/>
      <c r="AV69" s="25"/>
      <c r="AW69" s="25"/>
      <c r="AX69" s="24"/>
    </row>
    <row r="70" spans="1:50" ht="16.5" customHeight="1">
      <c r="A70" s="36" t="s">
        <v>445</v>
      </c>
      <c r="B70" s="28" t="s">
        <v>68</v>
      </c>
      <c r="C70" s="28" t="s">
        <v>86</v>
      </c>
      <c r="D70" s="28"/>
      <c r="E70" s="28" t="s">
        <v>70</v>
      </c>
      <c r="F70" s="28">
        <v>288</v>
      </c>
      <c r="G70" s="28">
        <v>3</v>
      </c>
      <c r="H70" s="28" t="str">
        <f>IF(ISNUMBER(Table810[[#This Row],[Total Capacity]]),"USBR Enterprise Asset Registry",IF(Table810[[#This Row],[Total Capacity]]="",""))</f>
        <v>USBR Enterprise Asset Registry</v>
      </c>
      <c r="I70" s="28" t="s">
        <v>57</v>
      </c>
      <c r="J70" s="28" t="s">
        <v>72</v>
      </c>
      <c r="K70" s="28"/>
      <c r="L70" s="50">
        <v>112230</v>
      </c>
      <c r="M70" s="48"/>
      <c r="N70" s="50">
        <v>112230</v>
      </c>
      <c r="O70" s="28"/>
      <c r="P70" s="37"/>
      <c r="Q70" s="28">
        <f>IF(OR(Table810[[#This Row],[Post-Review Decision]]="Include", Table810[[#This Row],[Post-Review Decision]]="Include if possible", Table810[[#This Row],[Post-Review Decision]]="Include (Omit % Avg if needed)",  Table810[[#This Row],[Post-Review Decision]]="Include (Omit % Avg)"),Table810[[#This Row],[EAR Total Capacity]],"")</f>
        <v>112230</v>
      </c>
      <c r="R70" s="28">
        <v>101022</v>
      </c>
      <c r="S70" s="46">
        <v>108924</v>
      </c>
      <c r="T70" s="28" t="s">
        <v>445</v>
      </c>
      <c r="U70" s="28" t="s">
        <v>446</v>
      </c>
      <c r="V70" s="13" t="s">
        <v>264</v>
      </c>
      <c r="W70" s="12" t="b">
        <f>ISNUMBER(Table810[[#This Row],[EAR Total Capacity]])</f>
        <v>1</v>
      </c>
      <c r="X70" s="12" t="b">
        <f>IF(Table810[[#This Row],[Has  Storage for Full Averaging Period?]]="OK",TRUE,FALSE)</f>
        <v>1</v>
      </c>
      <c r="Y70" s="12" t="b">
        <f>IFERROR(IF(YEAR(Table810[[#This Row],[RISE Storage End Date]])=2025,TRUE,FALSE),FALSE)</f>
        <v>1</v>
      </c>
      <c r="Z70" s="11" t="b">
        <v>0</v>
      </c>
      <c r="AA70" s="13">
        <v>61</v>
      </c>
      <c r="AB70" s="13" t="s">
        <v>76</v>
      </c>
      <c r="AC70" s="13" t="s">
        <v>447</v>
      </c>
      <c r="AD70" s="13" t="s">
        <v>445</v>
      </c>
      <c r="AE70" s="13" t="s">
        <v>78</v>
      </c>
      <c r="AF70" s="13" t="s">
        <v>448</v>
      </c>
      <c r="AG70" s="13" t="s">
        <v>91</v>
      </c>
      <c r="AH70" s="13" t="s">
        <v>92</v>
      </c>
      <c r="AI70" s="13" t="s">
        <v>82</v>
      </c>
      <c r="AJ70" s="14">
        <v>112230</v>
      </c>
      <c r="AK70" s="18"/>
      <c r="AL70" s="18"/>
      <c r="AM70" s="13" t="s">
        <v>449</v>
      </c>
      <c r="AN70" s="13" t="s">
        <v>95</v>
      </c>
      <c r="AO70" s="13" t="s">
        <v>450</v>
      </c>
      <c r="AP70" s="13" t="s">
        <v>450</v>
      </c>
      <c r="AQ70" s="21" t="s">
        <v>64</v>
      </c>
      <c r="AR70" s="26">
        <v>31533</v>
      </c>
      <c r="AS70" s="26">
        <v>46007</v>
      </c>
      <c r="AT70" s="25">
        <v>12183</v>
      </c>
      <c r="AU70" s="25" t="s">
        <v>65</v>
      </c>
      <c r="AV70" s="25" t="s">
        <v>65</v>
      </c>
      <c r="AW70" s="25" t="s">
        <v>65</v>
      </c>
      <c r="AX70" s="24"/>
    </row>
    <row r="71" spans="1:50" ht="16.5" customHeight="1">
      <c r="A71" s="36" t="s">
        <v>451</v>
      </c>
      <c r="B71" s="28" t="s">
        <v>68</v>
      </c>
      <c r="C71" s="28" t="s">
        <v>69</v>
      </c>
      <c r="D71" s="28"/>
      <c r="E71" s="28" t="s">
        <v>70</v>
      </c>
      <c r="F71" s="28">
        <v>3645</v>
      </c>
      <c r="G71" s="28">
        <v>3</v>
      </c>
      <c r="H71" s="28" t="str">
        <f>IF(ISNUMBER(Table810[[#This Row],[Total Capacity]]),"USBR Enterprise Asset Registry",IF(Table810[[#This Row],[Total Capacity]]="",""))</f>
        <v>USBR Enterprise Asset Registry</v>
      </c>
      <c r="I71" s="28" t="s">
        <v>71</v>
      </c>
      <c r="J71" s="28" t="s">
        <v>72</v>
      </c>
      <c r="K71" s="28"/>
      <c r="L71" s="50">
        <v>646500</v>
      </c>
      <c r="M71" s="48"/>
      <c r="N71" s="50">
        <v>646500</v>
      </c>
      <c r="O71" s="28"/>
      <c r="P71" s="37"/>
      <c r="Q71" s="28">
        <f>IF(OR(Table810[[#This Row],[Post-Review Decision]]="Include", Table810[[#This Row],[Post-Review Decision]]="Include if possible", Table810[[#This Row],[Post-Review Decision]]="Include (Omit % Avg if needed)",  Table810[[#This Row],[Post-Review Decision]]="Include (Omit % Avg)"),Table810[[#This Row],[EAR Total Capacity]],"")</f>
        <v>693000</v>
      </c>
      <c r="R71" s="28">
        <v>646500</v>
      </c>
      <c r="S71" s="46">
        <v>693000</v>
      </c>
      <c r="T71" s="28" t="s">
        <v>451</v>
      </c>
      <c r="U71" s="28" t="s">
        <v>452</v>
      </c>
      <c r="V71" s="13" t="s">
        <v>288</v>
      </c>
      <c r="W71" s="12" t="b">
        <f>ISNUMBER(Table810[[#This Row],[EAR Total Capacity]])</f>
        <v>1</v>
      </c>
      <c r="X71" s="12" t="s">
        <v>75</v>
      </c>
      <c r="Y71" s="12" t="b">
        <f>IFERROR(IF(YEAR(Table810[[#This Row],[RISE Storage End Date]])=2025,TRUE,FALSE),FALSE)</f>
        <v>0</v>
      </c>
      <c r="Z71" s="11" t="b">
        <v>0</v>
      </c>
      <c r="AA71" s="13">
        <v>210</v>
      </c>
      <c r="AB71" s="13" t="s">
        <v>76</v>
      </c>
      <c r="AC71" s="13" t="s">
        <v>453</v>
      </c>
      <c r="AD71" s="13" t="s">
        <v>451</v>
      </c>
      <c r="AE71" s="13" t="s">
        <v>78</v>
      </c>
      <c r="AF71" s="13" t="s">
        <v>454</v>
      </c>
      <c r="AG71" s="13" t="s">
        <v>80</v>
      </c>
      <c r="AH71" s="13" t="s">
        <v>81</v>
      </c>
      <c r="AI71" s="13" t="s">
        <v>93</v>
      </c>
      <c r="AJ71" s="19">
        <v>693000</v>
      </c>
      <c r="AK71" s="18"/>
      <c r="AL71" s="18"/>
      <c r="AM71" s="13" t="s">
        <v>455</v>
      </c>
      <c r="AN71" s="13" t="s">
        <v>84</v>
      </c>
      <c r="AO71" s="13" t="s">
        <v>451</v>
      </c>
      <c r="AP71" s="13" t="s">
        <v>451</v>
      </c>
      <c r="AQ71" s="21" t="s">
        <v>64</v>
      </c>
      <c r="AR71" s="25"/>
      <c r="AS71" s="25"/>
      <c r="AT71" s="25"/>
      <c r="AU71" s="25"/>
      <c r="AV71" s="25"/>
      <c r="AW71" s="25"/>
      <c r="AX71" s="24"/>
    </row>
    <row r="72" spans="1:50" ht="16.5" customHeight="1">
      <c r="A72" s="36" t="s">
        <v>456</v>
      </c>
      <c r="B72" s="28"/>
      <c r="C72" s="28" t="s">
        <v>97</v>
      </c>
      <c r="D72" s="28"/>
      <c r="E72" s="28"/>
      <c r="F72" s="28" t="s">
        <v>61</v>
      </c>
      <c r="G72" s="28"/>
      <c r="H72" s="28" t="str">
        <f>IF(ISNUMBER(Table810[[#This Row],[Total Capacity]]),"USBR Enterprise Asset Registry",IF(Table810[[#This Row],[Total Capacity]]="",""))</f>
        <v/>
      </c>
      <c r="I72" s="28"/>
      <c r="J72" s="28"/>
      <c r="K72" s="28"/>
      <c r="L72" s="50" t="s">
        <v>98</v>
      </c>
      <c r="M72" s="48"/>
      <c r="N72" s="50" t="s">
        <v>98</v>
      </c>
      <c r="O72" s="28"/>
      <c r="P72" s="37"/>
      <c r="Q72" s="28" t="str">
        <f>IF(OR(Table810[[#This Row],[Post-Review Decision]]="Include", Table810[[#This Row],[Post-Review Decision]]="Include if possible", Table810[[#This Row],[Post-Review Decision]]="Include (Omit % Avg if needed)",  Table810[[#This Row],[Post-Review Decision]]="Include (Omit % Avg)"),Table810[[#This Row],[EAR Total Capacity]],"")</f>
        <v/>
      </c>
      <c r="R72" s="28"/>
      <c r="S72" s="45">
        <v>0</v>
      </c>
      <c r="T72" s="28"/>
      <c r="U72" s="28"/>
      <c r="V72" s="13" t="s">
        <v>139</v>
      </c>
      <c r="W72" s="12" t="b">
        <f>ISNUMBER(Table810[[#This Row],[EAR Total Capacity]])</f>
        <v>0</v>
      </c>
      <c r="X72" s="12" t="b">
        <f>IF(Table810[[#This Row],[Has  Storage for Full Averaging Period?]]="OK",TRUE,FALSE)</f>
        <v>0</v>
      </c>
      <c r="Y72" s="12" t="b">
        <f>IFERROR(IF(YEAR(Table810[[#This Row],[RISE Storage End Date]])=2025,TRUE,FALSE),FALSE)</f>
        <v>0</v>
      </c>
      <c r="Z72" s="11" t="b">
        <v>0</v>
      </c>
      <c r="AA72" s="13">
        <v>62</v>
      </c>
      <c r="AB72" s="13" t="s">
        <v>76</v>
      </c>
      <c r="AC72" s="13" t="s">
        <v>457</v>
      </c>
      <c r="AD72" s="13" t="s">
        <v>456</v>
      </c>
      <c r="AE72" s="13" t="s">
        <v>101</v>
      </c>
      <c r="AF72" s="13" t="s">
        <v>458</v>
      </c>
      <c r="AG72" s="13" t="s">
        <v>91</v>
      </c>
      <c r="AH72" s="13" t="s">
        <v>81</v>
      </c>
      <c r="AI72" s="13" t="s">
        <v>103</v>
      </c>
      <c r="AJ72" s="14"/>
      <c r="AK72" s="15"/>
      <c r="AL72" s="15"/>
      <c r="AM72" s="15" t="s">
        <v>61</v>
      </c>
      <c r="AN72" s="15" t="s">
        <v>61</v>
      </c>
      <c r="AO72" s="15" t="s">
        <v>61</v>
      </c>
      <c r="AP72" s="15" t="s">
        <v>61</v>
      </c>
      <c r="AQ72" s="22"/>
      <c r="AR72" s="25"/>
      <c r="AS72" s="25"/>
      <c r="AT72" s="25"/>
      <c r="AU72" s="25"/>
      <c r="AV72" s="25"/>
      <c r="AW72" s="25"/>
      <c r="AX72" s="24"/>
    </row>
    <row r="73" spans="1:50" ht="16.5" customHeight="1">
      <c r="A73" s="36" t="s">
        <v>459</v>
      </c>
      <c r="B73" s="28"/>
      <c r="C73" s="28" t="s">
        <v>97</v>
      </c>
      <c r="D73" s="28"/>
      <c r="E73" s="28"/>
      <c r="F73" s="28" t="s">
        <v>61</v>
      </c>
      <c r="G73" s="28"/>
      <c r="H73" s="28" t="str">
        <f>IF(ISNUMBER(Table810[[#This Row],[Total Capacity]]),"USBR Enterprise Asset Registry",IF(Table810[[#This Row],[Total Capacity]]="",""))</f>
        <v/>
      </c>
      <c r="I73" s="28"/>
      <c r="J73" s="28"/>
      <c r="K73" s="28"/>
      <c r="L73" s="50" t="s">
        <v>98</v>
      </c>
      <c r="M73" s="48"/>
      <c r="N73" s="50" t="s">
        <v>98</v>
      </c>
      <c r="O73" s="28"/>
      <c r="P73" s="37"/>
      <c r="Q73" s="28" t="str">
        <f>IF(OR(Table810[[#This Row],[Post-Review Decision]]="Include", Table810[[#This Row],[Post-Review Decision]]="Include if possible", Table810[[#This Row],[Post-Review Decision]]="Include (Omit % Avg if needed)",  Table810[[#This Row],[Post-Review Decision]]="Include (Omit % Avg)"),Table810[[#This Row],[EAR Total Capacity]],"")</f>
        <v/>
      </c>
      <c r="R73" s="28">
        <v>250835</v>
      </c>
      <c r="S73" s="46">
        <v>250835</v>
      </c>
      <c r="T73" s="28"/>
      <c r="U73" s="28"/>
      <c r="V73" s="13" t="s">
        <v>460</v>
      </c>
      <c r="W73" s="12" t="b">
        <f>ISNUMBER(Table810[[#This Row],[EAR Total Capacity]])</f>
        <v>1</v>
      </c>
      <c r="X73" s="12" t="b">
        <f>IF(Table810[[#This Row],[Has  Storage for Full Averaging Period?]]="OK",TRUE,FALSE)</f>
        <v>0</v>
      </c>
      <c r="Y73" s="12" t="b">
        <f>IFERROR(IF(YEAR(Table810[[#This Row],[RISE Storage End Date]])=2025,TRUE,FALSE),FALSE)</f>
        <v>0</v>
      </c>
      <c r="Z73" s="11" t="b">
        <v>0</v>
      </c>
      <c r="AA73" s="13">
        <v>211</v>
      </c>
      <c r="AB73" s="13" t="s">
        <v>76</v>
      </c>
      <c r="AC73" s="13" t="s">
        <v>461</v>
      </c>
      <c r="AD73" s="13" t="s">
        <v>459</v>
      </c>
      <c r="AE73" s="13" t="s">
        <v>78</v>
      </c>
      <c r="AF73" s="13" t="s">
        <v>462</v>
      </c>
      <c r="AG73" s="13" t="s">
        <v>179</v>
      </c>
      <c r="AH73" s="13" t="s">
        <v>160</v>
      </c>
      <c r="AI73" s="13" t="s">
        <v>93</v>
      </c>
      <c r="AJ73" s="13">
        <v>254002</v>
      </c>
      <c r="AK73" s="15"/>
      <c r="AL73" s="15"/>
      <c r="AM73" s="15" t="s">
        <v>61</v>
      </c>
      <c r="AN73" s="15" t="s">
        <v>61</v>
      </c>
      <c r="AO73" s="15" t="s">
        <v>61</v>
      </c>
      <c r="AP73" s="15" t="s">
        <v>61</v>
      </c>
      <c r="AQ73" s="21" t="s">
        <v>136</v>
      </c>
      <c r="AR73" s="25"/>
      <c r="AS73" s="25"/>
      <c r="AT73" s="25"/>
      <c r="AU73" s="25"/>
      <c r="AV73" s="25"/>
      <c r="AW73" s="25"/>
      <c r="AX73" s="24"/>
    </row>
    <row r="74" spans="1:50" ht="16.5" customHeight="1">
      <c r="A74" s="36" t="s">
        <v>463</v>
      </c>
      <c r="B74" s="28" t="s">
        <v>68</v>
      </c>
      <c r="C74" s="28" t="s">
        <v>86</v>
      </c>
      <c r="D74" s="28"/>
      <c r="E74" s="28" t="s">
        <v>70</v>
      </c>
      <c r="F74" s="28">
        <v>289</v>
      </c>
      <c r="G74" s="28">
        <v>3</v>
      </c>
      <c r="H74" s="28" t="str">
        <f>IF(ISNUMBER(Table810[[#This Row],[Total Capacity]]),"USBR Enterprise Asset Registry",IF(Table810[[#This Row],[Total Capacity]]="",""))</f>
        <v>USBR Enterprise Asset Registry</v>
      </c>
      <c r="I74" s="28" t="s">
        <v>257</v>
      </c>
      <c r="J74" s="28" t="s">
        <v>72</v>
      </c>
      <c r="K74" s="28"/>
      <c r="L74" s="50">
        <v>7070</v>
      </c>
      <c r="M74" s="48"/>
      <c r="N74" s="50">
        <v>7070</v>
      </c>
      <c r="O74" s="28"/>
      <c r="P74" s="37"/>
      <c r="Q74" s="28">
        <f>IF(OR(Table810[[#This Row],[Post-Review Decision]]="Include", Table810[[#This Row],[Post-Review Decision]]="Include if possible", Table810[[#This Row],[Post-Review Decision]]="Include (Omit % Avg if needed)",  Table810[[#This Row],[Post-Review Decision]]="Include (Omit % Avg)"),Table810[[#This Row],[EAR Total Capacity]],"")</f>
        <v>7870</v>
      </c>
      <c r="R74" s="28">
        <v>6870</v>
      </c>
      <c r="S74" s="46">
        <v>7070</v>
      </c>
      <c r="T74" s="28" t="s">
        <v>463</v>
      </c>
      <c r="U74" s="28" t="s">
        <v>464</v>
      </c>
      <c r="V74" s="13" t="s">
        <v>465</v>
      </c>
      <c r="W74" s="12" t="b">
        <f>ISNUMBER(Table810[[#This Row],[EAR Total Capacity]])</f>
        <v>1</v>
      </c>
      <c r="X74" s="12" t="b">
        <f>IF(Table810[[#This Row],[Has  Storage for Full Averaging Period?]]="OK",TRUE,FALSE)</f>
        <v>1</v>
      </c>
      <c r="Y74" s="12" t="b">
        <f>IFERROR(IF(YEAR(Table810[[#This Row],[RISE Storage End Date]])=2025,TRUE,FALSE),FALSE)</f>
        <v>1</v>
      </c>
      <c r="Z74" s="11" t="b">
        <v>0</v>
      </c>
      <c r="AA74" s="13">
        <v>63</v>
      </c>
      <c r="AB74" s="13" t="s">
        <v>76</v>
      </c>
      <c r="AC74" s="13" t="s">
        <v>466</v>
      </c>
      <c r="AD74" s="13" t="s">
        <v>463</v>
      </c>
      <c r="AE74" s="13" t="s">
        <v>78</v>
      </c>
      <c r="AF74" s="13" t="s">
        <v>467</v>
      </c>
      <c r="AG74" s="13" t="s">
        <v>91</v>
      </c>
      <c r="AH74" s="13" t="s">
        <v>102</v>
      </c>
      <c r="AI74" s="13" t="s">
        <v>93</v>
      </c>
      <c r="AJ74" s="14">
        <v>7870</v>
      </c>
      <c r="AK74" s="18"/>
      <c r="AL74" s="18"/>
      <c r="AM74" s="13" t="s">
        <v>468</v>
      </c>
      <c r="AN74" s="13" t="s">
        <v>63</v>
      </c>
      <c r="AO74" s="13" t="s">
        <v>463</v>
      </c>
      <c r="AP74" s="13" t="s">
        <v>463</v>
      </c>
      <c r="AQ74" s="21" t="s">
        <v>64</v>
      </c>
      <c r="AR74" s="26">
        <v>27309</v>
      </c>
      <c r="AS74" s="26">
        <v>46007</v>
      </c>
      <c r="AT74" s="25">
        <v>18700</v>
      </c>
      <c r="AU74" s="25" t="s">
        <v>65</v>
      </c>
      <c r="AV74" s="25" t="s">
        <v>65</v>
      </c>
      <c r="AW74" s="25" t="s">
        <v>65</v>
      </c>
      <c r="AX74" s="24"/>
    </row>
    <row r="75" spans="1:50" ht="16.5" customHeight="1">
      <c r="A75" s="36" t="s">
        <v>469</v>
      </c>
      <c r="B75" s="28"/>
      <c r="C75" s="28" t="s">
        <v>97</v>
      </c>
      <c r="D75" s="28"/>
      <c r="E75" s="28"/>
      <c r="F75" s="43">
        <v>293</v>
      </c>
      <c r="G75" s="28"/>
      <c r="H75" s="28" t="str">
        <f>IF(ISNUMBER(Table810[[#This Row],[Total Capacity]]),"USBR Enterprise Asset Registry",IF(Table810[[#This Row],[Total Capacity]]="",""))</f>
        <v/>
      </c>
      <c r="I75" s="28"/>
      <c r="J75" s="28"/>
      <c r="K75" s="28"/>
      <c r="L75" s="50" t="s">
        <v>98</v>
      </c>
      <c r="M75" s="48"/>
      <c r="N75" s="50" t="s">
        <v>98</v>
      </c>
      <c r="O75" s="28"/>
      <c r="P75" s="37" t="s">
        <v>470</v>
      </c>
      <c r="Q75" s="28" t="str">
        <f>IF(OR(Table810[[#This Row],[Post-Review Decision]]="Include", Table810[[#This Row],[Post-Review Decision]]="Include if possible", Table810[[#This Row],[Post-Review Decision]]="Include (Omit % Avg if needed)",  Table810[[#This Row],[Post-Review Decision]]="Include (Omit % Avg)"),Table810[[#This Row],[EAR Total Capacity]],"")</f>
        <v/>
      </c>
      <c r="R75" s="28"/>
      <c r="S75" s="45" t="s">
        <v>59</v>
      </c>
      <c r="T75" s="28"/>
      <c r="U75" s="28"/>
      <c r="V75" s="17" t="s">
        <v>61</v>
      </c>
      <c r="W75" s="12" t="b">
        <f>ISNUMBER(Table810[[#This Row],[EAR Total Capacity]])</f>
        <v>0</v>
      </c>
      <c r="X75" s="12" t="b">
        <f>IF(Table810[[#This Row],[Has  Storage for Full Averaging Period?]]="OK",TRUE,FALSE)</f>
        <v>0</v>
      </c>
      <c r="Y75" s="12" t="b">
        <f>IFERROR(IF(YEAR(Table810[[#This Row],[RISE Storage End Date]])=2025,TRUE,FALSE),FALSE)</f>
        <v>0</v>
      </c>
      <c r="Z75" s="11" t="b">
        <v>0</v>
      </c>
      <c r="AA75" s="16" t="s">
        <v>61</v>
      </c>
      <c r="AB75" s="17" t="s">
        <v>61</v>
      </c>
      <c r="AC75" s="17" t="s">
        <v>61</v>
      </c>
      <c r="AD75" s="17" t="s">
        <v>61</v>
      </c>
      <c r="AE75" s="17" t="s">
        <v>61</v>
      </c>
      <c r="AF75" s="17" t="s">
        <v>61</v>
      </c>
      <c r="AG75" s="17" t="s">
        <v>61</v>
      </c>
      <c r="AH75" s="17" t="s">
        <v>61</v>
      </c>
      <c r="AI75" s="17" t="s">
        <v>61</v>
      </c>
      <c r="AJ75" s="17" t="s">
        <v>61</v>
      </c>
      <c r="AK75" s="18"/>
      <c r="AL75" s="18"/>
      <c r="AM75" s="13" t="s">
        <v>469</v>
      </c>
      <c r="AN75" s="11" t="s">
        <v>95</v>
      </c>
      <c r="AO75" s="11" t="s">
        <v>469</v>
      </c>
      <c r="AP75" s="11" t="s">
        <v>469</v>
      </c>
      <c r="AQ75" s="21" t="s">
        <v>136</v>
      </c>
      <c r="AR75" s="25"/>
      <c r="AS75" s="25"/>
      <c r="AT75" s="25"/>
      <c r="AU75" s="25"/>
      <c r="AV75" s="25"/>
      <c r="AW75" s="25"/>
      <c r="AX75" s="23"/>
    </row>
    <row r="76" spans="1:50" ht="16.5" customHeight="1">
      <c r="A76" s="42" t="s">
        <v>471</v>
      </c>
      <c r="B76" s="28" t="s">
        <v>68</v>
      </c>
      <c r="C76" s="43" t="s">
        <v>52</v>
      </c>
      <c r="D76" s="29" t="s">
        <v>303</v>
      </c>
      <c r="E76" s="43" t="s">
        <v>472</v>
      </c>
      <c r="F76" s="28">
        <v>3648</v>
      </c>
      <c r="G76" s="28"/>
      <c r="H76" s="43" t="str">
        <f>IF(ISNUMBER(Table810[[#This Row],[Total Capacity]]),"USBR Enterprise Asset Registry",IF(Table810[[#This Row],[Total Capacity]]="",""))</f>
        <v>USBR Enterprise Asset Registry</v>
      </c>
      <c r="I76" s="28" t="s">
        <v>57</v>
      </c>
      <c r="J76" s="28" t="s">
        <v>127</v>
      </c>
      <c r="K76" s="33">
        <v>191890</v>
      </c>
      <c r="L76" s="50">
        <v>172452</v>
      </c>
      <c r="M76" s="48"/>
      <c r="N76" s="50">
        <v>172452</v>
      </c>
      <c r="O76" s="28"/>
      <c r="P76" s="43" t="s">
        <v>473</v>
      </c>
      <c r="Q76" s="29">
        <f>IF(OR(Table810[[#This Row],[Post-Review Decision]]="Include", Table810[[#This Row],[Post-Review Decision]]="Include if possible", Table810[[#This Row],[Post-Review Decision]]="Include (Omit % Avg if needed)",  Table810[[#This Row],[Post-Review Decision]]="Include (Omit % Avg)"),Table810[[#This Row],[EAR Total Capacity]],"")</f>
        <v>364342</v>
      </c>
      <c r="R76" s="29">
        <v>335768</v>
      </c>
      <c r="S76" s="46">
        <v>359940</v>
      </c>
      <c r="T76" s="29"/>
      <c r="U76" s="29"/>
      <c r="V76" s="13" t="s">
        <v>474</v>
      </c>
      <c r="W76" s="12" t="b">
        <f>ISNUMBER(Table810[[#This Row],[EAR Total Capacity]])</f>
        <v>1</v>
      </c>
      <c r="X76" s="12" t="b">
        <f>IF(Table810[[#This Row],[Has  Storage for Full Averaging Period?]]="OK",TRUE,FALSE)</f>
        <v>0</v>
      </c>
      <c r="Y76" s="12" t="b">
        <f>IFERROR(IF(YEAR(Table810[[#This Row],[RISE Storage End Date]])=2025,TRUE,FALSE),FALSE)</f>
        <v>0</v>
      </c>
      <c r="Z76" s="11" t="b">
        <v>0</v>
      </c>
      <c r="AA76" s="13">
        <v>64</v>
      </c>
      <c r="AB76" s="13" t="s">
        <v>76</v>
      </c>
      <c r="AC76" s="13" t="s">
        <v>475</v>
      </c>
      <c r="AD76" s="13" t="s">
        <v>471</v>
      </c>
      <c r="AE76" s="13" t="s">
        <v>78</v>
      </c>
      <c r="AF76" s="13" t="s">
        <v>476</v>
      </c>
      <c r="AG76" s="13" t="s">
        <v>109</v>
      </c>
      <c r="AH76" s="13" t="s">
        <v>92</v>
      </c>
      <c r="AI76" s="13" t="s">
        <v>93</v>
      </c>
      <c r="AJ76" s="14">
        <v>364342</v>
      </c>
      <c r="AK76" s="18"/>
      <c r="AL76" s="18"/>
      <c r="AM76" s="13" t="s">
        <v>477</v>
      </c>
      <c r="AN76" s="13" t="s">
        <v>95</v>
      </c>
      <c r="AO76" s="11" t="s">
        <v>471</v>
      </c>
      <c r="AP76" s="11" t="s">
        <v>471</v>
      </c>
      <c r="AQ76" s="21" t="s">
        <v>136</v>
      </c>
      <c r="AR76" s="25"/>
      <c r="AS76" s="25"/>
      <c r="AT76" s="25"/>
      <c r="AU76" s="25"/>
      <c r="AV76" s="25"/>
      <c r="AW76" s="25"/>
      <c r="AX76" s="24"/>
    </row>
    <row r="77" spans="1:50" ht="16.5" customHeight="1">
      <c r="A77" s="36" t="s">
        <v>478</v>
      </c>
      <c r="B77" s="28"/>
      <c r="C77" s="28" t="s">
        <v>97</v>
      </c>
      <c r="D77" s="28"/>
      <c r="E77" s="28"/>
      <c r="F77" s="28" t="s">
        <v>61</v>
      </c>
      <c r="G77" s="28"/>
      <c r="H77" s="28" t="str">
        <f>IF(ISNUMBER(Table810[[#This Row],[Total Capacity]]),"USBR Enterprise Asset Registry",IF(Table810[[#This Row],[Total Capacity]]="",""))</f>
        <v/>
      </c>
      <c r="I77" s="28"/>
      <c r="J77" s="28"/>
      <c r="K77" s="28"/>
      <c r="L77" s="50" t="s">
        <v>98</v>
      </c>
      <c r="M77" s="48"/>
      <c r="N77" s="50" t="s">
        <v>98</v>
      </c>
      <c r="O77" s="28"/>
      <c r="P77" s="37"/>
      <c r="Q77" s="28" t="str">
        <f>IF(OR(Table810[[#This Row],[Post-Review Decision]]="Include", Table810[[#This Row],[Post-Review Decision]]="Include if possible", Table810[[#This Row],[Post-Review Decision]]="Include (Omit % Avg if needed)",  Table810[[#This Row],[Post-Review Decision]]="Include (Omit % Avg)"),Table810[[#This Row],[EAR Total Capacity]],"")</f>
        <v/>
      </c>
      <c r="R77" s="28"/>
      <c r="S77" s="45">
        <v>0</v>
      </c>
      <c r="T77" s="28"/>
      <c r="U77" s="28"/>
      <c r="V77" s="13" t="s">
        <v>206</v>
      </c>
      <c r="W77" s="12" t="b">
        <f>ISNUMBER(Table810[[#This Row],[EAR Total Capacity]])</f>
        <v>0</v>
      </c>
      <c r="X77" s="12" t="b">
        <f>IF(Table810[[#This Row],[Has  Storage for Full Averaging Period?]]="OK",TRUE,FALSE)</f>
        <v>0</v>
      </c>
      <c r="Y77" s="12" t="b">
        <f>IFERROR(IF(YEAR(Table810[[#This Row],[RISE Storage End Date]])=2025,TRUE,FALSE),FALSE)</f>
        <v>0</v>
      </c>
      <c r="Z77" s="11" t="b">
        <v>0</v>
      </c>
      <c r="AA77" s="13">
        <v>845</v>
      </c>
      <c r="AB77" s="13" t="s">
        <v>76</v>
      </c>
      <c r="AC77" s="13" t="s">
        <v>479</v>
      </c>
      <c r="AD77" s="13" t="s">
        <v>478</v>
      </c>
      <c r="AE77" s="13" t="s">
        <v>101</v>
      </c>
      <c r="AF77" s="13" t="s">
        <v>480</v>
      </c>
      <c r="AG77" s="13" t="s">
        <v>80</v>
      </c>
      <c r="AH77" s="13" t="s">
        <v>81</v>
      </c>
      <c r="AI77" s="13" t="s">
        <v>110</v>
      </c>
      <c r="AJ77" s="13"/>
      <c r="AK77" s="15"/>
      <c r="AL77" s="15"/>
      <c r="AM77" s="15" t="s">
        <v>61</v>
      </c>
      <c r="AN77" s="15" t="s">
        <v>61</v>
      </c>
      <c r="AO77" s="15" t="s">
        <v>61</v>
      </c>
      <c r="AP77" s="15" t="s">
        <v>61</v>
      </c>
      <c r="AQ77" s="22"/>
      <c r="AR77" s="25"/>
      <c r="AS77" s="25"/>
      <c r="AT77" s="25"/>
      <c r="AU77" s="25"/>
      <c r="AV77" s="25"/>
      <c r="AW77" s="25"/>
      <c r="AX77" s="24"/>
    </row>
    <row r="78" spans="1:50" ht="16.5" customHeight="1">
      <c r="A78" s="36" t="s">
        <v>481</v>
      </c>
      <c r="B78" s="28"/>
      <c r="C78" s="28" t="s">
        <v>97</v>
      </c>
      <c r="D78" s="28"/>
      <c r="E78" s="28"/>
      <c r="F78" s="28" t="s">
        <v>61</v>
      </c>
      <c r="G78" s="28"/>
      <c r="H78" s="28" t="str">
        <f>IF(ISNUMBER(Table810[[#This Row],[Total Capacity]]),"USBR Enterprise Asset Registry",IF(Table810[[#This Row],[Total Capacity]]="",""))</f>
        <v/>
      </c>
      <c r="I78" s="28"/>
      <c r="J78" s="28"/>
      <c r="K78" s="28"/>
      <c r="L78" s="50" t="s">
        <v>98</v>
      </c>
      <c r="M78" s="48"/>
      <c r="N78" s="50" t="s">
        <v>98</v>
      </c>
      <c r="O78" s="28"/>
      <c r="P78" s="37"/>
      <c r="Q78" s="28" t="str">
        <f>IF(OR(Table810[[#This Row],[Post-Review Decision]]="Include", Table810[[#This Row],[Post-Review Decision]]="Include if possible", Table810[[#This Row],[Post-Review Decision]]="Include (Omit % Avg if needed)",  Table810[[#This Row],[Post-Review Decision]]="Include (Omit % Avg)"),Table810[[#This Row],[EAR Total Capacity]],"")</f>
        <v/>
      </c>
      <c r="R78" s="28"/>
      <c r="S78" s="45">
        <v>0</v>
      </c>
      <c r="T78" s="28"/>
      <c r="U78" s="28"/>
      <c r="V78" s="13" t="s">
        <v>442</v>
      </c>
      <c r="W78" s="12" t="b">
        <f>ISNUMBER(Table810[[#This Row],[EAR Total Capacity]])</f>
        <v>0</v>
      </c>
      <c r="X78" s="12" t="b">
        <f>IF(Table810[[#This Row],[Has  Storage for Full Averaging Period?]]="OK",TRUE,FALSE)</f>
        <v>0</v>
      </c>
      <c r="Y78" s="12" t="b">
        <f>IFERROR(IF(YEAR(Table810[[#This Row],[RISE Storage End Date]])=2025,TRUE,FALSE),FALSE)</f>
        <v>0</v>
      </c>
      <c r="Z78" s="11" t="b">
        <v>0</v>
      </c>
      <c r="AA78" s="13">
        <v>65</v>
      </c>
      <c r="AB78" s="13" t="s">
        <v>76</v>
      </c>
      <c r="AC78" s="13" t="s">
        <v>482</v>
      </c>
      <c r="AD78" s="13" t="s">
        <v>481</v>
      </c>
      <c r="AE78" s="13" t="s">
        <v>101</v>
      </c>
      <c r="AF78" s="13" t="s">
        <v>483</v>
      </c>
      <c r="AG78" s="13" t="s">
        <v>91</v>
      </c>
      <c r="AH78" s="13" t="s">
        <v>92</v>
      </c>
      <c r="AI78" s="13" t="s">
        <v>103</v>
      </c>
      <c r="AJ78" s="14"/>
      <c r="AK78" s="15"/>
      <c r="AL78" s="15"/>
      <c r="AM78" s="15" t="s">
        <v>61</v>
      </c>
      <c r="AN78" s="15" t="s">
        <v>61</v>
      </c>
      <c r="AO78" s="15" t="s">
        <v>61</v>
      </c>
      <c r="AP78" s="15" t="s">
        <v>61</v>
      </c>
      <c r="AQ78" s="22"/>
      <c r="AR78" s="25"/>
      <c r="AS78" s="25"/>
      <c r="AT78" s="25"/>
      <c r="AU78" s="25"/>
      <c r="AV78" s="25"/>
      <c r="AW78" s="25"/>
      <c r="AX78" s="24"/>
    </row>
    <row r="79" spans="1:50" ht="16.5" customHeight="1">
      <c r="A79" s="36" t="s">
        <v>484</v>
      </c>
      <c r="B79" s="28" t="s">
        <v>68</v>
      </c>
      <c r="C79" s="28" t="s">
        <v>52</v>
      </c>
      <c r="D79" s="28" t="s">
        <v>125</v>
      </c>
      <c r="E79" s="28" t="s">
        <v>126</v>
      </c>
      <c r="F79" s="28">
        <v>7083</v>
      </c>
      <c r="G79" s="28">
        <v>3</v>
      </c>
      <c r="H79" s="28" t="str">
        <f>IF(ISNUMBER(Table810[[#This Row],[Total Capacity]]),"USBR Enterprise Asset Registry",IF(Table810[[#This Row],[Total Capacity]]="",""))</f>
        <v>USBR Enterprise Asset Registry</v>
      </c>
      <c r="I79" s="28" t="s">
        <v>57</v>
      </c>
      <c r="J79" s="28" t="s">
        <v>127</v>
      </c>
      <c r="K79" s="33">
        <v>86709</v>
      </c>
      <c r="L79" s="50">
        <v>176027</v>
      </c>
      <c r="M79" s="48"/>
      <c r="N79" s="50">
        <v>176027</v>
      </c>
      <c r="O79" s="28"/>
      <c r="P79" s="37" t="s">
        <v>485</v>
      </c>
      <c r="Q79" s="28">
        <f>IF(OR(Table810[[#This Row],[Post-Review Decision]]="Include", Table810[[#This Row],[Post-Review Decision]]="Include if possible", Table810[[#This Row],[Post-Review Decision]]="Include (Omit % Avg if needed)",  Table810[[#This Row],[Post-Review Decision]]="Include (Omit % Avg)"),Table810[[#This Row],[EAR Total Capacity]],"")</f>
        <v>262736</v>
      </c>
      <c r="R79" s="28">
        <v>250466</v>
      </c>
      <c r="S79" s="46">
        <v>262736</v>
      </c>
      <c r="T79" s="28" t="s">
        <v>484</v>
      </c>
      <c r="U79" s="28" t="s">
        <v>486</v>
      </c>
      <c r="V79" s="13" t="s">
        <v>487</v>
      </c>
      <c r="W79" s="12" t="b">
        <f>ISNUMBER(Table810[[#This Row],[EAR Total Capacity]])</f>
        <v>1</v>
      </c>
      <c r="X79" s="12" t="b">
        <f>IF(Table810[[#This Row],[Has  Storage for Full Averaging Period?]]="OK",TRUE,FALSE)</f>
        <v>0</v>
      </c>
      <c r="Y79" s="12" t="b">
        <f>IFERROR(IF(YEAR(Table810[[#This Row],[RISE Storage End Date]])=2025,TRUE,FALSE),FALSE)</f>
        <v>0</v>
      </c>
      <c r="Z79" s="11" t="b">
        <v>0</v>
      </c>
      <c r="AA79" s="13">
        <v>66</v>
      </c>
      <c r="AB79" s="13" t="s">
        <v>76</v>
      </c>
      <c r="AC79" s="13" t="s">
        <v>488</v>
      </c>
      <c r="AD79" s="13" t="s">
        <v>484</v>
      </c>
      <c r="AE79" s="13" t="s">
        <v>78</v>
      </c>
      <c r="AF79" s="13" t="s">
        <v>489</v>
      </c>
      <c r="AG79" s="13" t="s">
        <v>109</v>
      </c>
      <c r="AH79" s="13" t="s">
        <v>92</v>
      </c>
      <c r="AI79" s="13" t="s">
        <v>93</v>
      </c>
      <c r="AJ79" s="13">
        <v>262736</v>
      </c>
      <c r="AK79" s="15">
        <v>-97.802000000000007</v>
      </c>
      <c r="AL79" s="15">
        <v>37.722999999999999</v>
      </c>
      <c r="AM79" s="15" t="s">
        <v>61</v>
      </c>
      <c r="AN79" s="15" t="s">
        <v>61</v>
      </c>
      <c r="AO79" s="15" t="s">
        <v>61</v>
      </c>
      <c r="AP79" s="15" t="s">
        <v>61</v>
      </c>
      <c r="AQ79" s="21" t="s">
        <v>136</v>
      </c>
      <c r="AR79" s="25"/>
      <c r="AS79" s="25"/>
      <c r="AT79" s="25"/>
      <c r="AU79" s="25"/>
      <c r="AV79" s="25"/>
      <c r="AW79" s="25"/>
      <c r="AX79" s="24"/>
    </row>
    <row r="80" spans="1:50" ht="16.5" customHeight="1">
      <c r="A80" s="36" t="s">
        <v>490</v>
      </c>
      <c r="B80" s="28"/>
      <c r="C80" s="28" t="s">
        <v>97</v>
      </c>
      <c r="D80" s="28"/>
      <c r="E80" s="28"/>
      <c r="F80" s="28" t="s">
        <v>61</v>
      </c>
      <c r="G80" s="28"/>
      <c r="H80" s="28" t="str">
        <f>IF(ISNUMBER(Table810[[#This Row],[Total Capacity]]),"USBR Enterprise Asset Registry",IF(Table810[[#This Row],[Total Capacity]]="",""))</f>
        <v/>
      </c>
      <c r="I80" s="28"/>
      <c r="J80" s="28"/>
      <c r="K80" s="28"/>
      <c r="L80" s="50" t="s">
        <v>98</v>
      </c>
      <c r="M80" s="48"/>
      <c r="N80" s="50" t="s">
        <v>98</v>
      </c>
      <c r="O80" s="28"/>
      <c r="P80" s="37"/>
      <c r="Q80" s="28" t="str">
        <f>IF(OR(Table810[[#This Row],[Post-Review Decision]]="Include", Table810[[#This Row],[Post-Review Decision]]="Include if possible", Table810[[#This Row],[Post-Review Decision]]="Include (Omit % Avg if needed)",  Table810[[#This Row],[Post-Review Decision]]="Include (Omit % Avg)"),Table810[[#This Row],[EAR Total Capacity]],"")</f>
        <v/>
      </c>
      <c r="R80" s="28"/>
      <c r="S80" s="45">
        <v>0</v>
      </c>
      <c r="T80" s="28"/>
      <c r="U80" s="28"/>
      <c r="V80" s="13" t="s">
        <v>341</v>
      </c>
      <c r="W80" s="12" t="b">
        <f>ISNUMBER(Table810[[#This Row],[EAR Total Capacity]])</f>
        <v>0</v>
      </c>
      <c r="X80" s="12" t="b">
        <f>IF(Table810[[#This Row],[Has  Storage for Full Averaging Period?]]="OK",TRUE,FALSE)</f>
        <v>0</v>
      </c>
      <c r="Y80" s="12" t="b">
        <f>IFERROR(IF(YEAR(Table810[[#This Row],[RISE Storage End Date]])=2025,TRUE,FALSE),FALSE)</f>
        <v>0</v>
      </c>
      <c r="Z80" s="11" t="b">
        <v>0</v>
      </c>
      <c r="AA80" s="13">
        <v>846</v>
      </c>
      <c r="AB80" s="13" t="s">
        <v>76</v>
      </c>
      <c r="AC80" s="13" t="s">
        <v>491</v>
      </c>
      <c r="AD80" s="13" t="s">
        <v>490</v>
      </c>
      <c r="AE80" s="13" t="s">
        <v>78</v>
      </c>
      <c r="AF80" s="13" t="s">
        <v>492</v>
      </c>
      <c r="AG80" s="13" t="s">
        <v>109</v>
      </c>
      <c r="AH80" s="13" t="s">
        <v>92</v>
      </c>
      <c r="AI80" s="13"/>
      <c r="AJ80" s="13"/>
      <c r="AK80" s="15"/>
      <c r="AL80" s="15"/>
      <c r="AM80" s="15" t="s">
        <v>61</v>
      </c>
      <c r="AN80" s="15" t="s">
        <v>61</v>
      </c>
      <c r="AO80" s="15" t="s">
        <v>61</v>
      </c>
      <c r="AP80" s="15" t="s">
        <v>61</v>
      </c>
      <c r="AQ80" s="21" t="s">
        <v>136</v>
      </c>
      <c r="AR80" s="25"/>
      <c r="AS80" s="25"/>
      <c r="AT80" s="25"/>
      <c r="AU80" s="25"/>
      <c r="AV80" s="25"/>
      <c r="AW80" s="25"/>
      <c r="AX80" s="24"/>
    </row>
    <row r="81" spans="1:50" ht="16.5" customHeight="1">
      <c r="A81" s="36" t="s">
        <v>493</v>
      </c>
      <c r="B81" s="28"/>
      <c r="C81" s="28" t="s">
        <v>97</v>
      </c>
      <c r="D81" s="28"/>
      <c r="E81" s="28"/>
      <c r="F81" s="28">
        <v>3679</v>
      </c>
      <c r="G81" s="28"/>
      <c r="H81" s="28" t="str">
        <f>IF(ISNUMBER(Table810[[#This Row],[Total Capacity]]),"USBR Enterprise Asset Registry",IF(Table810[[#This Row],[Total Capacity]]="",""))</f>
        <v/>
      </c>
      <c r="I81" s="28"/>
      <c r="J81" s="28"/>
      <c r="K81" s="28"/>
      <c r="L81" s="50" t="s">
        <v>98</v>
      </c>
      <c r="M81" s="48"/>
      <c r="N81" s="50" t="s">
        <v>98</v>
      </c>
      <c r="O81" s="28"/>
      <c r="P81" s="37"/>
      <c r="Q81" s="28" t="str">
        <f>IF(OR(Table810[[#This Row],[Post-Review Decision]]="Include", Table810[[#This Row],[Post-Review Decision]]="Include if possible", Table810[[#This Row],[Post-Review Decision]]="Include (Omit % Avg if needed)",  Table810[[#This Row],[Post-Review Decision]]="Include (Omit % Avg)"),Table810[[#This Row],[EAR Total Capacity]],"")</f>
        <v/>
      </c>
      <c r="R81" s="28"/>
      <c r="S81" s="45" t="s">
        <v>59</v>
      </c>
      <c r="T81" s="28"/>
      <c r="U81" s="28"/>
      <c r="V81" s="17" t="s">
        <v>61</v>
      </c>
      <c r="W81" s="12" t="b">
        <f>ISNUMBER(Table810[[#This Row],[EAR Total Capacity]])</f>
        <v>0</v>
      </c>
      <c r="X81" s="12" t="b">
        <f>IF(Table810[[#This Row],[Has  Storage for Full Averaging Period?]]="OK",TRUE,FALSE)</f>
        <v>0</v>
      </c>
      <c r="Y81" s="12" t="b">
        <f>IFERROR(IF(YEAR(Table810[[#This Row],[RISE Storage End Date]])=2025,TRUE,FALSE),FALSE)</f>
        <v>0</v>
      </c>
      <c r="Z81" s="11" t="b">
        <v>0</v>
      </c>
      <c r="AA81" s="16" t="s">
        <v>61</v>
      </c>
      <c r="AB81" s="17" t="s">
        <v>61</v>
      </c>
      <c r="AC81" s="17" t="s">
        <v>61</v>
      </c>
      <c r="AD81" s="17" t="s">
        <v>61</v>
      </c>
      <c r="AE81" s="17" t="s">
        <v>61</v>
      </c>
      <c r="AF81" s="17" t="s">
        <v>61</v>
      </c>
      <c r="AG81" s="17" t="s">
        <v>61</v>
      </c>
      <c r="AH81" s="17" t="s">
        <v>61</v>
      </c>
      <c r="AI81" s="17" t="s">
        <v>61</v>
      </c>
      <c r="AJ81" s="17" t="s">
        <v>61</v>
      </c>
      <c r="AK81" s="18"/>
      <c r="AL81" s="18"/>
      <c r="AM81" s="13" t="s">
        <v>494</v>
      </c>
      <c r="AN81" s="11" t="s">
        <v>63</v>
      </c>
      <c r="AO81" s="11" t="s">
        <v>493</v>
      </c>
      <c r="AP81" s="11" t="e">
        <v>#N/A</v>
      </c>
      <c r="AQ81" s="21" t="s">
        <v>136</v>
      </c>
      <c r="AR81" s="25"/>
      <c r="AS81" s="25"/>
      <c r="AT81" s="25"/>
      <c r="AU81" s="25"/>
      <c r="AV81" s="25"/>
      <c r="AW81" s="25"/>
      <c r="AX81" s="23"/>
    </row>
    <row r="82" spans="1:50" ht="16.5" customHeight="1">
      <c r="A82" s="36" t="s">
        <v>495</v>
      </c>
      <c r="B82" s="28" t="s">
        <v>68</v>
      </c>
      <c r="C82" s="28" t="s">
        <v>86</v>
      </c>
      <c r="D82" s="28"/>
      <c r="E82" s="28" t="s">
        <v>70</v>
      </c>
      <c r="F82" s="28">
        <v>291</v>
      </c>
      <c r="G82" s="28">
        <v>3</v>
      </c>
      <c r="H82" s="28" t="str">
        <f>IF(ISNUMBER(Table810[[#This Row],[Total Capacity]]),"USBR Enterprise Asset Registry",IF(Table810[[#This Row],[Total Capacity]]="",""))</f>
        <v>USBR Enterprise Asset Registry</v>
      </c>
      <c r="I82" s="28" t="s">
        <v>57</v>
      </c>
      <c r="J82" s="28" t="s">
        <v>72</v>
      </c>
      <c r="K82" s="28"/>
      <c r="L82" s="50">
        <v>695271</v>
      </c>
      <c r="M82" s="48">
        <v>666541</v>
      </c>
      <c r="N82" s="50">
        <v>666541</v>
      </c>
      <c r="O82" s="28"/>
      <c r="P82" s="37"/>
      <c r="Q82" s="28">
        <f>IF(OR(Table810[[#This Row],[Post-Review Decision]]="Include", Table810[[#This Row],[Post-Review Decision]]="Include if possible", Table810[[#This Row],[Post-Review Decision]]="Include (Omit % Avg if needed)",  Table810[[#This Row],[Post-Review Decision]]="Include (Omit % Avg)"),Table810[[#This Row],[EAR Total Capacity]],"")</f>
        <v>695271</v>
      </c>
      <c r="R82" s="28">
        <v>694500</v>
      </c>
      <c r="S82" s="46">
        <v>695262</v>
      </c>
      <c r="T82" s="28" t="s">
        <v>495</v>
      </c>
      <c r="U82" s="28" t="s">
        <v>496</v>
      </c>
      <c r="V82" s="13" t="s">
        <v>497</v>
      </c>
      <c r="W82" s="12" t="b">
        <f>ISNUMBER(Table810[[#This Row],[EAR Total Capacity]])</f>
        <v>1</v>
      </c>
      <c r="X82" s="12" t="b">
        <f>IF(Table810[[#This Row],[Has  Storage for Full Averaging Period?]]="OK",TRUE,FALSE)</f>
        <v>1</v>
      </c>
      <c r="Y82" s="12" t="b">
        <f>IFERROR(IF(YEAR(Table810[[#This Row],[RISE Storage End Date]])=2025,TRUE,FALSE),FALSE)</f>
        <v>1</v>
      </c>
      <c r="Z82" s="11" t="b">
        <v>0</v>
      </c>
      <c r="AA82" s="13">
        <v>67</v>
      </c>
      <c r="AB82" s="13" t="s">
        <v>76</v>
      </c>
      <c r="AC82" s="13" t="s">
        <v>498</v>
      </c>
      <c r="AD82" s="13" t="s">
        <v>495</v>
      </c>
      <c r="AE82" s="13" t="s">
        <v>78</v>
      </c>
      <c r="AF82" s="13" t="s">
        <v>499</v>
      </c>
      <c r="AG82" s="13" t="s">
        <v>133</v>
      </c>
      <c r="AH82" s="13" t="s">
        <v>92</v>
      </c>
      <c r="AI82" s="13" t="s">
        <v>93</v>
      </c>
      <c r="AJ82" s="14">
        <v>695271</v>
      </c>
      <c r="AK82" s="18"/>
      <c r="AL82" s="18"/>
      <c r="AM82" s="13" t="s">
        <v>500</v>
      </c>
      <c r="AN82" s="13" t="s">
        <v>135</v>
      </c>
      <c r="AO82" s="13" t="s">
        <v>495</v>
      </c>
      <c r="AP82" s="13" t="s">
        <v>495</v>
      </c>
      <c r="AQ82" s="21" t="s">
        <v>64</v>
      </c>
      <c r="AR82" s="26">
        <v>32815</v>
      </c>
      <c r="AS82" s="26">
        <v>46007</v>
      </c>
      <c r="AT82" s="25">
        <v>12822</v>
      </c>
      <c r="AU82" s="25" t="s">
        <v>65</v>
      </c>
      <c r="AV82" s="25" t="s">
        <v>65</v>
      </c>
      <c r="AW82" s="25" t="s">
        <v>65</v>
      </c>
      <c r="AX82" s="24"/>
    </row>
    <row r="83" spans="1:50" ht="16.5" customHeight="1">
      <c r="A83" s="36" t="s">
        <v>501</v>
      </c>
      <c r="B83" s="28" t="s">
        <v>68</v>
      </c>
      <c r="C83" s="28" t="s">
        <v>86</v>
      </c>
      <c r="D83" s="28"/>
      <c r="E83" s="28" t="s">
        <v>70</v>
      </c>
      <c r="F83" s="28">
        <v>294</v>
      </c>
      <c r="G83" s="28">
        <v>3</v>
      </c>
      <c r="H83" s="28" t="str">
        <f>IF(ISNUMBER(Table810[[#This Row],[Total Capacity]]),"USBR Enterprise Asset Registry",IF(Table810[[#This Row],[Total Capacity]]="",""))</f>
        <v>USBR Enterprise Asset Registry</v>
      </c>
      <c r="I83" s="28" t="s">
        <v>57</v>
      </c>
      <c r="J83" s="28" t="s">
        <v>127</v>
      </c>
      <c r="K83" s="28">
        <v>77136</v>
      </c>
      <c r="L83" s="50">
        <v>174300</v>
      </c>
      <c r="M83" s="48"/>
      <c r="N83" s="50">
        <v>174300</v>
      </c>
      <c r="O83" s="28"/>
      <c r="P83" s="37"/>
      <c r="Q83" s="28">
        <f>IF(OR(Table810[[#This Row],[Post-Review Decision]]="Include", Table810[[#This Row],[Post-Review Decision]]="Include if possible", Table810[[#This Row],[Post-Review Decision]]="Include (Omit % Avg if needed)",  Table810[[#This Row],[Post-Review Decision]]="Include (Omit % Avg)"),Table810[[#This Row],[EAR Total Capacity]],"")</f>
        <v>251436</v>
      </c>
      <c r="R83" s="28">
        <v>250321</v>
      </c>
      <c r="S83" s="46">
        <v>251433</v>
      </c>
      <c r="T83" s="28" t="s">
        <v>501</v>
      </c>
      <c r="U83" s="28" t="s">
        <v>502</v>
      </c>
      <c r="V83" s="13" t="s">
        <v>212</v>
      </c>
      <c r="W83" s="12" t="b">
        <f>ISNUMBER(Table810[[#This Row],[EAR Total Capacity]])</f>
        <v>1</v>
      </c>
      <c r="X83" s="12" t="b">
        <f>IF(Table810[[#This Row],[Has  Storage for Full Averaging Period?]]="OK",TRUE,FALSE)</f>
        <v>1</v>
      </c>
      <c r="Y83" s="12" t="b">
        <f>IFERROR(IF(YEAR(Table810[[#This Row],[RISE Storage End Date]])=2025,TRUE,FALSE),FALSE)</f>
        <v>1</v>
      </c>
      <c r="Z83" s="11" t="b">
        <v>0</v>
      </c>
      <c r="AA83" s="13">
        <v>68</v>
      </c>
      <c r="AB83" s="13" t="s">
        <v>76</v>
      </c>
      <c r="AC83" s="13" t="s">
        <v>503</v>
      </c>
      <c r="AD83" s="13" t="s">
        <v>501</v>
      </c>
      <c r="AE83" s="13" t="s">
        <v>78</v>
      </c>
      <c r="AF83" s="13" t="s">
        <v>504</v>
      </c>
      <c r="AG83" s="13" t="s">
        <v>109</v>
      </c>
      <c r="AH83" s="13" t="s">
        <v>92</v>
      </c>
      <c r="AI83" s="13" t="s">
        <v>93</v>
      </c>
      <c r="AJ83" s="14">
        <v>251436</v>
      </c>
      <c r="AK83" s="18"/>
      <c r="AL83" s="18"/>
      <c r="AM83" s="13" t="s">
        <v>505</v>
      </c>
      <c r="AN83" s="13" t="s">
        <v>95</v>
      </c>
      <c r="AO83" s="13" t="s">
        <v>501</v>
      </c>
      <c r="AP83" s="13" t="s">
        <v>501</v>
      </c>
      <c r="AQ83" s="21" t="s">
        <v>64</v>
      </c>
      <c r="AR83" s="26">
        <v>23285</v>
      </c>
      <c r="AS83" s="26">
        <v>46007</v>
      </c>
      <c r="AT83" s="25">
        <v>22725</v>
      </c>
      <c r="AU83" s="25" t="s">
        <v>65</v>
      </c>
      <c r="AV83" s="25" t="s">
        <v>65</v>
      </c>
      <c r="AW83" s="25" t="s">
        <v>65</v>
      </c>
      <c r="AX83" s="24"/>
    </row>
    <row r="84" spans="1:50" ht="16.5" customHeight="1">
      <c r="A84" s="36" t="s">
        <v>506</v>
      </c>
      <c r="B84" s="28" t="s">
        <v>68</v>
      </c>
      <c r="C84" s="28" t="s">
        <v>69</v>
      </c>
      <c r="D84" s="28"/>
      <c r="E84" s="28" t="s">
        <v>70</v>
      </c>
      <c r="F84" s="28">
        <v>7170</v>
      </c>
      <c r="G84" s="28">
        <v>3</v>
      </c>
      <c r="H84" s="28" t="str">
        <f>IF(ISNUMBER(Table810[[#This Row],[Total Capacity]]),"USBR Enterprise Asset Registry",IF(Table810[[#This Row],[Total Capacity]]="",""))</f>
        <v>USBR Enterprise Asset Registry</v>
      </c>
      <c r="I84" s="28" t="s">
        <v>71</v>
      </c>
      <c r="J84" s="28" t="s">
        <v>72</v>
      </c>
      <c r="K84" s="28"/>
      <c r="L84" s="50">
        <v>432500</v>
      </c>
      <c r="M84" s="48"/>
      <c r="N84" s="50">
        <v>432500</v>
      </c>
      <c r="O84" s="28"/>
      <c r="P84" s="37"/>
      <c r="Q84" s="28">
        <f>IF(OR(Table810[[#This Row],[Post-Review Decision]]="Include", Table810[[#This Row],[Post-Review Decision]]="Include if possible", Table810[[#This Row],[Post-Review Decision]]="Include (Omit % Avg if needed)",  Table810[[#This Row],[Post-Review Decision]]="Include (Omit % Avg)"),Table810[[#This Row],[EAR Total Capacity]],"")</f>
        <v>705500</v>
      </c>
      <c r="R84" s="28">
        <v>432500</v>
      </c>
      <c r="S84" s="46">
        <v>432500</v>
      </c>
      <c r="T84" s="28" t="s">
        <v>506</v>
      </c>
      <c r="U84" s="28" t="s">
        <v>507</v>
      </c>
      <c r="V84" s="13" t="s">
        <v>385</v>
      </c>
      <c r="W84" s="12" t="b">
        <f>ISNUMBER(Table810[[#This Row],[EAR Total Capacity]])</f>
        <v>1</v>
      </c>
      <c r="X84" s="12" t="s">
        <v>75</v>
      </c>
      <c r="Y84" s="12" t="b">
        <f>IFERROR(IF(YEAR(Table810[[#This Row],[RISE Storage End Date]])=2025,TRUE,FALSE),FALSE)</f>
        <v>0</v>
      </c>
      <c r="Z84" s="11" t="b">
        <v>0</v>
      </c>
      <c r="AA84" s="13">
        <v>69</v>
      </c>
      <c r="AB84" s="13" t="s">
        <v>76</v>
      </c>
      <c r="AC84" s="13" t="s">
        <v>508</v>
      </c>
      <c r="AD84" s="13" t="s">
        <v>506</v>
      </c>
      <c r="AE84" s="13" t="s">
        <v>78</v>
      </c>
      <c r="AF84" s="13" t="s">
        <v>509</v>
      </c>
      <c r="AG84" s="13" t="s">
        <v>80</v>
      </c>
      <c r="AH84" s="13" t="s">
        <v>81</v>
      </c>
      <c r="AI84" s="13" t="s">
        <v>93</v>
      </c>
      <c r="AJ84" s="19">
        <v>705500</v>
      </c>
      <c r="AK84" s="18"/>
      <c r="AL84" s="18"/>
      <c r="AM84" s="13" t="s">
        <v>510</v>
      </c>
      <c r="AN84" s="13" t="s">
        <v>84</v>
      </c>
      <c r="AO84" s="13" t="s">
        <v>506</v>
      </c>
      <c r="AP84" s="13" t="s">
        <v>506</v>
      </c>
      <c r="AQ84" s="21" t="s">
        <v>64</v>
      </c>
      <c r="AR84" s="25"/>
      <c r="AS84" s="25"/>
      <c r="AT84" s="25"/>
      <c r="AU84" s="25"/>
      <c r="AV84" s="25"/>
      <c r="AW84" s="25"/>
      <c r="AX84" s="24"/>
    </row>
    <row r="85" spans="1:50" ht="16.5" customHeight="1">
      <c r="A85" s="36" t="s">
        <v>511</v>
      </c>
      <c r="B85" s="28" t="s">
        <v>68</v>
      </c>
      <c r="C85" s="28" t="s">
        <v>52</v>
      </c>
      <c r="D85" s="28" t="s">
        <v>125</v>
      </c>
      <c r="E85" s="28" t="s">
        <v>126</v>
      </c>
      <c r="F85" s="28">
        <v>3702</v>
      </c>
      <c r="G85" s="28">
        <v>3</v>
      </c>
      <c r="H85" s="28" t="str">
        <f>IF(ISNUMBER(Table810[[#This Row],[Total Capacity]]),"USBR Enterprise Asset Registry",IF(Table810[[#This Row],[Total Capacity]]="",""))</f>
        <v>USBR Enterprise Asset Registry</v>
      </c>
      <c r="I85" s="28" t="s">
        <v>57</v>
      </c>
      <c r="J85" s="28"/>
      <c r="K85" s="28"/>
      <c r="L85" s="50">
        <v>507252</v>
      </c>
      <c r="M85" s="48"/>
      <c r="N85" s="50">
        <v>507252</v>
      </c>
      <c r="O85" s="28"/>
      <c r="P85" s="37" t="s">
        <v>512</v>
      </c>
      <c r="Q85" s="28">
        <f>IF(OR(Table810[[#This Row],[Post-Review Decision]]="Include", Table810[[#This Row],[Post-Review Decision]]="Include if possible", Table810[[#This Row],[Post-Review Decision]]="Include (Omit % Avg if needed)",  Table810[[#This Row],[Post-Review Decision]]="Include (Omit % Avg)"),Table810[[#This Row],[EAR Total Capacity]],"")</f>
        <v>507252</v>
      </c>
      <c r="R85" s="28">
        <v>463313</v>
      </c>
      <c r="S85" s="46">
        <v>503894</v>
      </c>
      <c r="T85" s="28" t="s">
        <v>511</v>
      </c>
      <c r="U85" s="28" t="s">
        <v>513</v>
      </c>
      <c r="V85" s="13" t="s">
        <v>156</v>
      </c>
      <c r="W85" s="12" t="b">
        <f>ISNUMBER(Table810[[#This Row],[EAR Total Capacity]])</f>
        <v>1</v>
      </c>
      <c r="X85" s="12" t="b">
        <f>IF(Table810[[#This Row],[Has  Storage for Full Averaging Period?]]="OK",TRUE,FALSE)</f>
        <v>0</v>
      </c>
      <c r="Y85" s="12" t="b">
        <f>IFERROR(IF(YEAR(Table810[[#This Row],[RISE Storage End Date]])=2025,TRUE,FALSE),FALSE)</f>
        <v>0</v>
      </c>
      <c r="Z85" s="11" t="b">
        <v>0</v>
      </c>
      <c r="AA85" s="13">
        <v>72</v>
      </c>
      <c r="AB85" s="13" t="s">
        <v>76</v>
      </c>
      <c r="AC85" s="13" t="s">
        <v>514</v>
      </c>
      <c r="AD85" s="13" t="s">
        <v>511</v>
      </c>
      <c r="AE85" s="13" t="s">
        <v>78</v>
      </c>
      <c r="AF85" s="13" t="s">
        <v>515</v>
      </c>
      <c r="AG85" s="13" t="s">
        <v>159</v>
      </c>
      <c r="AH85" s="13" t="s">
        <v>160</v>
      </c>
      <c r="AI85" s="13" t="s">
        <v>93</v>
      </c>
      <c r="AJ85" s="14">
        <v>507252</v>
      </c>
      <c r="AK85" s="13"/>
      <c r="AL85" s="13"/>
      <c r="AM85" s="13" t="s">
        <v>514</v>
      </c>
      <c r="AN85" s="13" t="s">
        <v>246</v>
      </c>
      <c r="AO85" s="11" t="s">
        <v>511</v>
      </c>
      <c r="AP85" s="11" t="e">
        <v>#N/A</v>
      </c>
      <c r="AQ85" s="21" t="s">
        <v>136</v>
      </c>
      <c r="AR85" s="25"/>
      <c r="AS85" s="25"/>
      <c r="AT85" s="25"/>
      <c r="AU85" s="25"/>
      <c r="AV85" s="25"/>
      <c r="AW85" s="25"/>
      <c r="AX85" s="24"/>
    </row>
    <row r="86" spans="1:50" ht="16.5" customHeight="1">
      <c r="A86" s="36" t="s">
        <v>516</v>
      </c>
      <c r="B86" s="28" t="s">
        <v>68</v>
      </c>
      <c r="C86" s="28" t="s">
        <v>69</v>
      </c>
      <c r="D86" s="28"/>
      <c r="E86" s="28" t="s">
        <v>70</v>
      </c>
      <c r="F86" s="28">
        <v>7200</v>
      </c>
      <c r="G86" s="28">
        <v>3</v>
      </c>
      <c r="H86" s="28" t="str">
        <f>IF(ISNUMBER(Table810[[#This Row],[Total Capacity]]),"USBR Enterprise Asset Registry",IF(Table810[[#This Row],[Total Capacity]]="",""))</f>
        <v>USBR Enterprise Asset Registry</v>
      </c>
      <c r="I86" s="28" t="s">
        <v>71</v>
      </c>
      <c r="J86" s="28" t="s">
        <v>72</v>
      </c>
      <c r="K86" s="28"/>
      <c r="L86" s="50">
        <v>13066</v>
      </c>
      <c r="M86" s="48"/>
      <c r="N86" s="50">
        <v>13066</v>
      </c>
      <c r="O86" s="28"/>
      <c r="P86" s="37"/>
      <c r="Q86" s="28">
        <f>IF(OR(Table810[[#This Row],[Post-Review Decision]]="Include", Table810[[#This Row],[Post-Review Decision]]="Include if possible", Table810[[#This Row],[Post-Review Decision]]="Include (Omit % Avg if needed)",  Table810[[#This Row],[Post-Review Decision]]="Include (Omit % Avg)"),Table810[[#This Row],[EAR Total Capacity]],"")</f>
        <v>13066</v>
      </c>
      <c r="R86" s="28">
        <v>13066</v>
      </c>
      <c r="S86" s="46">
        <v>13066</v>
      </c>
      <c r="T86" s="28" t="s">
        <v>517</v>
      </c>
      <c r="U86" s="28" t="s">
        <v>518</v>
      </c>
      <c r="V86" s="13" t="s">
        <v>519</v>
      </c>
      <c r="W86" s="12" t="b">
        <f>ISNUMBER(Table810[[#This Row],[EAR Total Capacity]])</f>
        <v>1</v>
      </c>
      <c r="X86" s="12" t="s">
        <v>75</v>
      </c>
      <c r="Y86" s="12" t="b">
        <f>IFERROR(IF(YEAR(Table810[[#This Row],[RISE Storage End Date]])=2025,TRUE,FALSE),FALSE)</f>
        <v>0</v>
      </c>
      <c r="Z86" s="11" t="b">
        <v>0</v>
      </c>
      <c r="AA86" s="13">
        <v>70</v>
      </c>
      <c r="AB86" s="13" t="s">
        <v>76</v>
      </c>
      <c r="AC86" s="13" t="s">
        <v>516</v>
      </c>
      <c r="AD86" s="13" t="s">
        <v>516</v>
      </c>
      <c r="AE86" s="13" t="s">
        <v>78</v>
      </c>
      <c r="AF86" s="13" t="s">
        <v>520</v>
      </c>
      <c r="AG86" s="13" t="s">
        <v>80</v>
      </c>
      <c r="AH86" s="13" t="s">
        <v>81</v>
      </c>
      <c r="AI86" s="13" t="s">
        <v>93</v>
      </c>
      <c r="AJ86" s="19">
        <v>13066</v>
      </c>
      <c r="AK86" s="18"/>
      <c r="AL86" s="18"/>
      <c r="AM86" s="13" t="s">
        <v>521</v>
      </c>
      <c r="AN86" s="13" t="s">
        <v>84</v>
      </c>
      <c r="AO86" s="13" t="s">
        <v>522</v>
      </c>
      <c r="AP86" s="13" t="s">
        <v>523</v>
      </c>
      <c r="AQ86" s="21" t="s">
        <v>64</v>
      </c>
      <c r="AR86" s="25"/>
      <c r="AS86" s="25"/>
      <c r="AT86" s="25"/>
      <c r="AU86" s="25"/>
      <c r="AV86" s="25"/>
      <c r="AW86" s="25"/>
      <c r="AX86" s="24"/>
    </row>
    <row r="87" spans="1:50" ht="16.5" customHeight="1">
      <c r="A87" s="36" t="s">
        <v>524</v>
      </c>
      <c r="B87" s="28"/>
      <c r="C87" s="28" t="s">
        <v>97</v>
      </c>
      <c r="D87" s="28"/>
      <c r="E87" s="28"/>
      <c r="F87" s="28" t="s">
        <v>61</v>
      </c>
      <c r="G87" s="28"/>
      <c r="H87" s="28" t="str">
        <f>IF(ISNUMBER(Table810[[#This Row],[Total Capacity]]),"USBR Enterprise Asset Registry",IF(Table810[[#This Row],[Total Capacity]]="",""))</f>
        <v/>
      </c>
      <c r="I87" s="28"/>
      <c r="J87" s="28"/>
      <c r="K87" s="28"/>
      <c r="L87" s="50" t="s">
        <v>98</v>
      </c>
      <c r="M87" s="48"/>
      <c r="N87" s="50" t="s">
        <v>98</v>
      </c>
      <c r="O87" s="28"/>
      <c r="P87" s="37" t="s">
        <v>525</v>
      </c>
      <c r="Q87" s="28" t="str">
        <f>IF(OR(Table810[[#This Row],[Post-Review Decision]]="Include", Table810[[#This Row],[Post-Review Decision]]="Include if possible", Table810[[#This Row],[Post-Review Decision]]="Include (Omit % Avg if needed)",  Table810[[#This Row],[Post-Review Decision]]="Include (Omit % Avg)"),Table810[[#This Row],[EAR Total Capacity]],"")</f>
        <v/>
      </c>
      <c r="R87" s="28">
        <v>5300</v>
      </c>
      <c r="S87" s="46">
        <v>5300</v>
      </c>
      <c r="T87" s="28"/>
      <c r="U87" s="28"/>
      <c r="V87" s="13" t="s">
        <v>385</v>
      </c>
      <c r="W87" s="12" t="b">
        <f>ISNUMBER(Table810[[#This Row],[EAR Total Capacity]])</f>
        <v>1</v>
      </c>
      <c r="X87" s="12" t="b">
        <f>IF(Table810[[#This Row],[Has  Storage for Full Averaging Period?]]="OK",TRUE,FALSE)</f>
        <v>0</v>
      </c>
      <c r="Y87" s="12" t="b">
        <f>IFERROR(IF(YEAR(Table810[[#This Row],[RISE Storage End Date]])=2025,TRUE,FALSE),FALSE)</f>
        <v>0</v>
      </c>
      <c r="Z87" s="11" t="b">
        <v>0</v>
      </c>
      <c r="AA87" s="13">
        <v>71</v>
      </c>
      <c r="AB87" s="13" t="s">
        <v>76</v>
      </c>
      <c r="AC87" s="13" t="s">
        <v>524</v>
      </c>
      <c r="AD87" s="13" t="s">
        <v>524</v>
      </c>
      <c r="AE87" s="13" t="s">
        <v>78</v>
      </c>
      <c r="AF87" s="13" t="s">
        <v>526</v>
      </c>
      <c r="AG87" s="13" t="s">
        <v>80</v>
      </c>
      <c r="AH87" s="13" t="s">
        <v>81</v>
      </c>
      <c r="AI87" s="13" t="s">
        <v>93</v>
      </c>
      <c r="AJ87" s="13">
        <v>5300</v>
      </c>
      <c r="AK87" s="15"/>
      <c r="AL87" s="15"/>
      <c r="AM87" s="15" t="s">
        <v>61</v>
      </c>
      <c r="AN87" s="15" t="s">
        <v>61</v>
      </c>
      <c r="AO87" s="15" t="s">
        <v>61</v>
      </c>
      <c r="AP87" s="15" t="s">
        <v>61</v>
      </c>
      <c r="AQ87" s="21" t="s">
        <v>136</v>
      </c>
      <c r="AR87" s="25"/>
      <c r="AS87" s="25"/>
      <c r="AT87" s="25"/>
      <c r="AU87" s="25"/>
      <c r="AV87" s="25"/>
      <c r="AW87" s="25"/>
      <c r="AX87" s="24"/>
    </row>
    <row r="88" spans="1:50" ht="16.5" customHeight="1">
      <c r="A88" s="36" t="s">
        <v>527</v>
      </c>
      <c r="B88" s="28"/>
      <c r="C88" s="28" t="s">
        <v>97</v>
      </c>
      <c r="D88" s="28"/>
      <c r="E88" s="28"/>
      <c r="F88" s="28">
        <v>3239</v>
      </c>
      <c r="G88" s="28"/>
      <c r="H88" s="28" t="str">
        <f>IF(ISNUMBER(Table810[[#This Row],[Total Capacity]]),"USBR Enterprise Asset Registry",IF(Table810[[#This Row],[Total Capacity]]="",""))</f>
        <v/>
      </c>
      <c r="I88" s="28"/>
      <c r="J88" s="28"/>
      <c r="K88" s="28"/>
      <c r="L88" s="50" t="s">
        <v>98</v>
      </c>
      <c r="M88" s="48"/>
      <c r="N88" s="50" t="s">
        <v>98</v>
      </c>
      <c r="O88" s="28"/>
      <c r="P88" s="37"/>
      <c r="Q88" s="28" t="str">
        <f>IF(OR(Table810[[#This Row],[Post-Review Decision]]="Include", Table810[[#This Row],[Post-Review Decision]]="Include if possible", Table810[[#This Row],[Post-Review Decision]]="Include (Omit % Avg if needed)",  Table810[[#This Row],[Post-Review Decision]]="Include (Omit % Avg)"),Table810[[#This Row],[EAR Total Capacity]],"")</f>
        <v/>
      </c>
      <c r="R88" s="28"/>
      <c r="S88" s="45" t="s">
        <v>59</v>
      </c>
      <c r="T88" s="28"/>
      <c r="U88" s="28"/>
      <c r="V88" s="17" t="s">
        <v>61</v>
      </c>
      <c r="W88" s="12" t="b">
        <f>ISNUMBER(Table810[[#This Row],[EAR Total Capacity]])</f>
        <v>0</v>
      </c>
      <c r="X88" s="12" t="b">
        <f>IF(Table810[[#This Row],[Has  Storage for Full Averaging Period?]]="OK",TRUE,FALSE)</f>
        <v>0</v>
      </c>
      <c r="Y88" s="12" t="b">
        <f>IFERROR(IF(YEAR(Table810[[#This Row],[RISE Storage End Date]])=2025,TRUE,FALSE),FALSE)</f>
        <v>0</v>
      </c>
      <c r="Z88" s="11" t="b">
        <v>0</v>
      </c>
      <c r="AA88" s="16" t="s">
        <v>61</v>
      </c>
      <c r="AB88" s="17" t="s">
        <v>61</v>
      </c>
      <c r="AC88" s="17" t="s">
        <v>61</v>
      </c>
      <c r="AD88" s="17" t="s">
        <v>61</v>
      </c>
      <c r="AE88" s="17" t="s">
        <v>61</v>
      </c>
      <c r="AF88" s="17" t="s">
        <v>61</v>
      </c>
      <c r="AG88" s="17" t="s">
        <v>61</v>
      </c>
      <c r="AH88" s="17" t="s">
        <v>61</v>
      </c>
      <c r="AI88" s="17" t="s">
        <v>61</v>
      </c>
      <c r="AJ88" s="17" t="s">
        <v>61</v>
      </c>
      <c r="AK88" s="18"/>
      <c r="AL88" s="18"/>
      <c r="AM88" s="13" t="s">
        <v>528</v>
      </c>
      <c r="AN88" s="11" t="s">
        <v>246</v>
      </c>
      <c r="AO88" s="11" t="s">
        <v>527</v>
      </c>
      <c r="AP88" s="11" t="e">
        <v>#N/A</v>
      </c>
      <c r="AQ88" s="21" t="s">
        <v>136</v>
      </c>
      <c r="AR88" s="25"/>
      <c r="AS88" s="25"/>
      <c r="AT88" s="25"/>
      <c r="AU88" s="25"/>
      <c r="AV88" s="25"/>
      <c r="AW88" s="25"/>
      <c r="AX88" s="23"/>
    </row>
    <row r="89" spans="1:50" ht="16.5" customHeight="1">
      <c r="A89" s="36" t="s">
        <v>529</v>
      </c>
      <c r="B89" s="28"/>
      <c r="C89" s="28" t="s">
        <v>97</v>
      </c>
      <c r="D89" s="28"/>
      <c r="E89" s="28"/>
      <c r="F89" s="28" t="s">
        <v>61</v>
      </c>
      <c r="G89" s="28"/>
      <c r="H89" s="28" t="str">
        <f>IF(ISNUMBER(Table810[[#This Row],[Total Capacity]]),"USBR Enterprise Asset Registry",IF(Table810[[#This Row],[Total Capacity]]="",""))</f>
        <v/>
      </c>
      <c r="I89" s="28"/>
      <c r="J89" s="28"/>
      <c r="K89" s="28"/>
      <c r="L89" s="50" t="s">
        <v>98</v>
      </c>
      <c r="M89" s="48"/>
      <c r="N89" s="50" t="s">
        <v>98</v>
      </c>
      <c r="O89" s="28"/>
      <c r="P89" s="37"/>
      <c r="Q89" s="28" t="str">
        <f>IF(OR(Table810[[#This Row],[Post-Review Decision]]="Include", Table810[[#This Row],[Post-Review Decision]]="Include if possible", Table810[[#This Row],[Post-Review Decision]]="Include (Omit % Avg if needed)",  Table810[[#This Row],[Post-Review Decision]]="Include (Omit % Avg)"),Table810[[#This Row],[EAR Total Capacity]],"")</f>
        <v/>
      </c>
      <c r="R89" s="28"/>
      <c r="S89" s="45">
        <v>0</v>
      </c>
      <c r="T89" s="28"/>
      <c r="U89" s="28"/>
      <c r="V89" s="13" t="s">
        <v>530</v>
      </c>
      <c r="W89" s="12" t="b">
        <f>ISNUMBER(Table810[[#This Row],[EAR Total Capacity]])</f>
        <v>0</v>
      </c>
      <c r="X89" s="12" t="b">
        <f>IF(Table810[[#This Row],[Has  Storage for Full Averaging Period?]]="OK",TRUE,FALSE)</f>
        <v>0</v>
      </c>
      <c r="Y89" s="12" t="b">
        <f>IFERROR(IF(YEAR(Table810[[#This Row],[RISE Storage End Date]])=2025,TRUE,FALSE),FALSE)</f>
        <v>0</v>
      </c>
      <c r="Z89" s="11" t="b">
        <v>0</v>
      </c>
      <c r="AA89" s="13">
        <v>73</v>
      </c>
      <c r="AB89" s="13" t="s">
        <v>76</v>
      </c>
      <c r="AC89" s="13" t="s">
        <v>531</v>
      </c>
      <c r="AD89" s="13" t="s">
        <v>529</v>
      </c>
      <c r="AE89" s="13" t="s">
        <v>101</v>
      </c>
      <c r="AF89" s="13" t="s">
        <v>532</v>
      </c>
      <c r="AG89" s="13" t="s">
        <v>91</v>
      </c>
      <c r="AH89" s="13" t="s">
        <v>102</v>
      </c>
      <c r="AI89" s="13" t="s">
        <v>103</v>
      </c>
      <c r="AJ89" s="13"/>
      <c r="AK89" s="15"/>
      <c r="AL89" s="15"/>
      <c r="AM89" s="15" t="s">
        <v>61</v>
      </c>
      <c r="AN89" s="15" t="s">
        <v>61</v>
      </c>
      <c r="AO89" s="15" t="s">
        <v>61</v>
      </c>
      <c r="AP89" s="15" t="s">
        <v>61</v>
      </c>
      <c r="AQ89" s="22"/>
      <c r="AR89" s="25"/>
      <c r="AS89" s="25"/>
      <c r="AT89" s="25"/>
      <c r="AU89" s="25"/>
      <c r="AV89" s="25"/>
      <c r="AW89" s="25"/>
      <c r="AX89" s="24"/>
    </row>
    <row r="90" spans="1:50" ht="16.5" customHeight="1">
      <c r="A90" s="36" t="s">
        <v>533</v>
      </c>
      <c r="B90" s="28"/>
      <c r="C90" s="28" t="s">
        <v>97</v>
      </c>
      <c r="D90" s="28"/>
      <c r="E90" s="28"/>
      <c r="F90" s="28" t="s">
        <v>61</v>
      </c>
      <c r="G90" s="28"/>
      <c r="H90" s="28" t="str">
        <f>IF(ISNUMBER(Table810[[#This Row],[Total Capacity]]),"USBR Enterprise Asset Registry",IF(Table810[[#This Row],[Total Capacity]]="",""))</f>
        <v/>
      </c>
      <c r="I90" s="28"/>
      <c r="J90" s="28"/>
      <c r="K90" s="28"/>
      <c r="L90" s="50" t="s">
        <v>98</v>
      </c>
      <c r="M90" s="48"/>
      <c r="N90" s="50" t="s">
        <v>98</v>
      </c>
      <c r="O90" s="28"/>
      <c r="P90" s="37"/>
      <c r="Q90" s="28" t="str">
        <f>IF(OR(Table810[[#This Row],[Post-Review Decision]]="Include", Table810[[#This Row],[Post-Review Decision]]="Include if possible", Table810[[#This Row],[Post-Review Decision]]="Include (Omit % Avg if needed)",  Table810[[#This Row],[Post-Review Decision]]="Include (Omit % Avg)"),Table810[[#This Row],[EAR Total Capacity]],"")</f>
        <v/>
      </c>
      <c r="R90" s="28"/>
      <c r="S90" s="45">
        <v>0</v>
      </c>
      <c r="T90" s="28"/>
      <c r="U90" s="28"/>
      <c r="V90" s="13" t="s">
        <v>341</v>
      </c>
      <c r="W90" s="12" t="b">
        <f>ISNUMBER(Table810[[#This Row],[EAR Total Capacity]])</f>
        <v>0</v>
      </c>
      <c r="X90" s="12" t="b">
        <f>IF(Table810[[#This Row],[Has  Storage for Full Averaging Period?]]="OK",TRUE,FALSE)</f>
        <v>0</v>
      </c>
      <c r="Y90" s="12" t="b">
        <f>IFERROR(IF(YEAR(Table810[[#This Row],[RISE Storage End Date]])=2025,TRUE,FALSE),FALSE)</f>
        <v>0</v>
      </c>
      <c r="Z90" s="11" t="b">
        <v>0</v>
      </c>
      <c r="AA90" s="13">
        <v>74</v>
      </c>
      <c r="AB90" s="13" t="s">
        <v>76</v>
      </c>
      <c r="AC90" s="13" t="s">
        <v>534</v>
      </c>
      <c r="AD90" s="13" t="s">
        <v>533</v>
      </c>
      <c r="AE90" s="13" t="s">
        <v>343</v>
      </c>
      <c r="AF90" s="13" t="s">
        <v>344</v>
      </c>
      <c r="AG90" s="13" t="s">
        <v>109</v>
      </c>
      <c r="AH90" s="13" t="s">
        <v>92</v>
      </c>
      <c r="AI90" s="13" t="s">
        <v>110</v>
      </c>
      <c r="AJ90" s="14"/>
      <c r="AK90" s="15"/>
      <c r="AL90" s="15"/>
      <c r="AM90" s="15" t="s">
        <v>61</v>
      </c>
      <c r="AN90" s="15" t="s">
        <v>61</v>
      </c>
      <c r="AO90" s="15" t="s">
        <v>61</v>
      </c>
      <c r="AP90" s="15" t="s">
        <v>61</v>
      </c>
      <c r="AQ90" s="21" t="s">
        <v>136</v>
      </c>
      <c r="AR90" s="25"/>
      <c r="AS90" s="25"/>
      <c r="AT90" s="25"/>
      <c r="AU90" s="25"/>
      <c r="AV90" s="25"/>
      <c r="AW90" s="25"/>
      <c r="AX90" s="24"/>
    </row>
    <row r="91" spans="1:50" ht="16.5" customHeight="1">
      <c r="A91" s="36" t="s">
        <v>535</v>
      </c>
      <c r="B91" s="33" t="s">
        <v>51</v>
      </c>
      <c r="C91" s="28" t="s">
        <v>52</v>
      </c>
      <c r="D91" s="28" t="s">
        <v>53</v>
      </c>
      <c r="E91" s="28" t="s">
        <v>536</v>
      </c>
      <c r="F91" s="28">
        <v>305</v>
      </c>
      <c r="G91" s="28" t="s">
        <v>55</v>
      </c>
      <c r="H91" s="28" t="s">
        <v>537</v>
      </c>
      <c r="I91" s="28" t="s">
        <v>57</v>
      </c>
      <c r="J91" s="28"/>
      <c r="K91" s="28"/>
      <c r="L91" s="50" t="e">
        <v>#VALUE!</v>
      </c>
      <c r="M91" s="50">
        <v>766819</v>
      </c>
      <c r="N91" s="50"/>
      <c r="O91" s="28"/>
      <c r="P91" s="37" t="s">
        <v>538</v>
      </c>
      <c r="Q91" s="33">
        <v>766819</v>
      </c>
      <c r="R91" s="33"/>
      <c r="S91" s="45" t="s">
        <v>59</v>
      </c>
      <c r="T91" s="33" t="s">
        <v>535</v>
      </c>
      <c r="U91" s="33" t="s">
        <v>539</v>
      </c>
      <c r="V91" s="17" t="s">
        <v>61</v>
      </c>
      <c r="W91" s="12" t="b">
        <f>ISNUMBER(Table810[[#This Row],[EAR Total Capacity]])</f>
        <v>0</v>
      </c>
      <c r="X91" s="12" t="b">
        <f>IF(Table810[[#This Row],[Has  Storage for Full Averaging Period?]]="OK",TRUE,FALSE)</f>
        <v>0</v>
      </c>
      <c r="Y91" s="12" t="b">
        <f>IFERROR(IF(YEAR(Table810[[#This Row],[RISE Storage End Date]])=2025,TRUE,FALSE),FALSE)</f>
        <v>0</v>
      </c>
      <c r="Z91" s="11" t="b">
        <v>0</v>
      </c>
      <c r="AA91" s="16" t="s">
        <v>61</v>
      </c>
      <c r="AB91" s="17" t="s">
        <v>61</v>
      </c>
      <c r="AC91" s="17" t="s">
        <v>61</v>
      </c>
      <c r="AD91" s="17" t="s">
        <v>61</v>
      </c>
      <c r="AE91" s="17" t="s">
        <v>61</v>
      </c>
      <c r="AF91" s="17" t="s">
        <v>61</v>
      </c>
      <c r="AG91" s="17" t="s">
        <v>61</v>
      </c>
      <c r="AH91" s="17" t="s">
        <v>61</v>
      </c>
      <c r="AI91" s="17" t="s">
        <v>61</v>
      </c>
      <c r="AJ91" s="17" t="s">
        <v>61</v>
      </c>
      <c r="AK91" s="18"/>
      <c r="AL91" s="18"/>
      <c r="AM91" s="13" t="s">
        <v>540</v>
      </c>
      <c r="AN91" s="11" t="s">
        <v>63</v>
      </c>
      <c r="AO91" s="11" t="s">
        <v>535</v>
      </c>
      <c r="AP91" s="11" t="e">
        <v>#N/A</v>
      </c>
      <c r="AQ91" s="21" t="s">
        <v>64</v>
      </c>
      <c r="AR91" s="26">
        <v>27394</v>
      </c>
      <c r="AS91" s="26">
        <v>43969</v>
      </c>
      <c r="AT91" s="25">
        <v>16576</v>
      </c>
      <c r="AU91" s="25" t="s">
        <v>65</v>
      </c>
      <c r="AV91" s="25" t="s">
        <v>66</v>
      </c>
      <c r="AW91" s="25" t="s">
        <v>66</v>
      </c>
      <c r="AX91" s="23"/>
    </row>
    <row r="92" spans="1:50" ht="16.5" customHeight="1">
      <c r="A92" s="36" t="s">
        <v>541</v>
      </c>
      <c r="B92" s="28" t="s">
        <v>68</v>
      </c>
      <c r="C92" s="28" t="s">
        <v>69</v>
      </c>
      <c r="D92" s="28"/>
      <c r="E92" s="28" t="s">
        <v>70</v>
      </c>
      <c r="F92" s="28">
        <v>7171</v>
      </c>
      <c r="G92" s="28">
        <v>3</v>
      </c>
      <c r="H92" s="28" t="str">
        <f>IF(ISNUMBER(Table810[[#This Row],[Total Capacity]]),"USBR Enterprise Asset Registry",IF(Table810[[#This Row],[Total Capacity]]="",""))</f>
        <v>USBR Enterprise Asset Registry</v>
      </c>
      <c r="I92" s="28" t="s">
        <v>71</v>
      </c>
      <c r="J92" s="28" t="s">
        <v>72</v>
      </c>
      <c r="K92" s="28"/>
      <c r="L92" s="50">
        <v>38646</v>
      </c>
      <c r="M92" s="48"/>
      <c r="N92" s="50">
        <v>38646</v>
      </c>
      <c r="O92" s="28"/>
      <c r="P92" s="37"/>
      <c r="Q92" s="28">
        <f>IF(OR(Table810[[#This Row],[Post-Review Decision]]="Include", Table810[[#This Row],[Post-Review Decision]]="Include if possible", Table810[[#This Row],[Post-Review Decision]]="Include (Omit % Avg if needed)",  Table810[[#This Row],[Post-Review Decision]]="Include (Omit % Avg)"),Table810[[#This Row],[EAR Total Capacity]],"")</f>
        <v>39260</v>
      </c>
      <c r="R92" s="28">
        <v>38646</v>
      </c>
      <c r="S92" s="46">
        <v>38970</v>
      </c>
      <c r="T92" s="28" t="s">
        <v>541</v>
      </c>
      <c r="U92" s="28" t="s">
        <v>542</v>
      </c>
      <c r="V92" s="13" t="s">
        <v>543</v>
      </c>
      <c r="W92" s="12" t="b">
        <f>ISNUMBER(Table810[[#This Row],[EAR Total Capacity]])</f>
        <v>1</v>
      </c>
      <c r="X92" s="12" t="s">
        <v>75</v>
      </c>
      <c r="Y92" s="12" t="b">
        <f>IFERROR(IF(YEAR(Table810[[#This Row],[RISE Storage End Date]])=2025,TRUE,FALSE),FALSE)</f>
        <v>0</v>
      </c>
      <c r="Z92" s="11" t="b">
        <v>0</v>
      </c>
      <c r="AA92" s="13">
        <v>75</v>
      </c>
      <c r="AB92" s="13" t="s">
        <v>76</v>
      </c>
      <c r="AC92" s="13" t="s">
        <v>544</v>
      </c>
      <c r="AD92" s="13" t="s">
        <v>541</v>
      </c>
      <c r="AE92" s="13" t="s">
        <v>78</v>
      </c>
      <c r="AF92" s="13" t="s">
        <v>545</v>
      </c>
      <c r="AG92" s="13" t="s">
        <v>80</v>
      </c>
      <c r="AH92" s="13" t="s">
        <v>81</v>
      </c>
      <c r="AI92" s="13" t="s">
        <v>82</v>
      </c>
      <c r="AJ92" s="19">
        <v>39260</v>
      </c>
      <c r="AK92" s="18"/>
      <c r="AL92" s="18"/>
      <c r="AM92" s="13" t="s">
        <v>546</v>
      </c>
      <c r="AN92" s="13" t="s">
        <v>84</v>
      </c>
      <c r="AO92" s="13" t="s">
        <v>541</v>
      </c>
      <c r="AP92" s="13" t="s">
        <v>541</v>
      </c>
      <c r="AQ92" s="21" t="s">
        <v>64</v>
      </c>
      <c r="AR92" s="25"/>
      <c r="AS92" s="25"/>
      <c r="AT92" s="25"/>
      <c r="AU92" s="25"/>
      <c r="AV92" s="25"/>
      <c r="AW92" s="25"/>
      <c r="AX92" s="24"/>
    </row>
    <row r="93" spans="1:50" ht="16.5" customHeight="1">
      <c r="A93" s="36" t="s">
        <v>547</v>
      </c>
      <c r="B93" s="28"/>
      <c r="C93" s="28" t="s">
        <v>97</v>
      </c>
      <c r="D93" s="28"/>
      <c r="E93" s="28"/>
      <c r="F93" s="28" t="s">
        <v>61</v>
      </c>
      <c r="G93" s="28"/>
      <c r="H93" s="28" t="str">
        <f>IF(ISNUMBER(Table810[[#This Row],[Total Capacity]]),"USBR Enterprise Asset Registry",IF(Table810[[#This Row],[Total Capacity]]="",""))</f>
        <v/>
      </c>
      <c r="I93" s="28"/>
      <c r="J93" s="28"/>
      <c r="K93" s="28"/>
      <c r="L93" s="50" t="s">
        <v>98</v>
      </c>
      <c r="M93" s="48"/>
      <c r="N93" s="50" t="s">
        <v>98</v>
      </c>
      <c r="O93" s="28"/>
      <c r="P93" s="37"/>
      <c r="Q93" s="28" t="str">
        <f>IF(OR(Table810[[#This Row],[Post-Review Decision]]="Include", Table810[[#This Row],[Post-Review Decision]]="Include if possible", Table810[[#This Row],[Post-Review Decision]]="Include (Omit % Avg if needed)",  Table810[[#This Row],[Post-Review Decision]]="Include (Omit % Avg)"),Table810[[#This Row],[EAR Total Capacity]],"")</f>
        <v/>
      </c>
      <c r="R93" s="28"/>
      <c r="S93" s="45">
        <v>0</v>
      </c>
      <c r="T93" s="28"/>
      <c r="U93" s="28"/>
      <c r="V93" s="13" t="s">
        <v>438</v>
      </c>
      <c r="W93" s="12" t="b">
        <f>ISNUMBER(Table810[[#This Row],[EAR Total Capacity]])</f>
        <v>0</v>
      </c>
      <c r="X93" s="12" t="b">
        <f>IF(Table810[[#This Row],[Has  Storage for Full Averaging Period?]]="OK",TRUE,FALSE)</f>
        <v>0</v>
      </c>
      <c r="Y93" s="12" t="b">
        <f>IFERROR(IF(YEAR(Table810[[#This Row],[RISE Storage End Date]])=2025,TRUE,FALSE),FALSE)</f>
        <v>0</v>
      </c>
      <c r="Z93" s="11" t="b">
        <v>0</v>
      </c>
      <c r="AA93" s="13">
        <v>76</v>
      </c>
      <c r="AB93" s="13" t="s">
        <v>76</v>
      </c>
      <c r="AC93" s="13" t="s">
        <v>548</v>
      </c>
      <c r="AD93" s="13" t="s">
        <v>547</v>
      </c>
      <c r="AE93" s="13" t="s">
        <v>101</v>
      </c>
      <c r="AF93" s="13" t="s">
        <v>549</v>
      </c>
      <c r="AG93" s="13" t="s">
        <v>159</v>
      </c>
      <c r="AH93" s="13" t="s">
        <v>160</v>
      </c>
      <c r="AI93" s="13" t="s">
        <v>103</v>
      </c>
      <c r="AJ93" s="14"/>
      <c r="AK93" s="15"/>
      <c r="AL93" s="15"/>
      <c r="AM93" s="15" t="s">
        <v>61</v>
      </c>
      <c r="AN93" s="15" t="s">
        <v>61</v>
      </c>
      <c r="AO93" s="15" t="s">
        <v>61</v>
      </c>
      <c r="AP93" s="15" t="s">
        <v>61</v>
      </c>
      <c r="AQ93" s="22"/>
      <c r="AR93" s="25"/>
      <c r="AS93" s="25"/>
      <c r="AT93" s="25"/>
      <c r="AU93" s="25"/>
      <c r="AV93" s="25"/>
      <c r="AW93" s="25"/>
      <c r="AX93" s="24"/>
    </row>
    <row r="94" spans="1:50" ht="16.5" customHeight="1">
      <c r="A94" s="36" t="s">
        <v>550</v>
      </c>
      <c r="B94" s="28" t="s">
        <v>68</v>
      </c>
      <c r="C94" s="28" t="s">
        <v>69</v>
      </c>
      <c r="D94" s="28"/>
      <c r="E94" s="28" t="s">
        <v>70</v>
      </c>
      <c r="F94" s="28">
        <v>3653</v>
      </c>
      <c r="G94" s="28">
        <v>3</v>
      </c>
      <c r="H94" s="28" t="str">
        <f>IF(ISNUMBER(Table810[[#This Row],[Total Capacity]]),"USBR Enterprise Asset Registry",IF(Table810[[#This Row],[Total Capacity]]="",""))</f>
        <v>USBR Enterprise Asset Registry</v>
      </c>
      <c r="I94" s="28" t="s">
        <v>71</v>
      </c>
      <c r="J94" s="28" t="s">
        <v>72</v>
      </c>
      <c r="K94" s="28"/>
      <c r="L94" s="50">
        <v>38495</v>
      </c>
      <c r="M94" s="48"/>
      <c r="N94" s="50">
        <v>38495</v>
      </c>
      <c r="O94" s="28"/>
      <c r="P94" s="37"/>
      <c r="Q94" s="28">
        <f>IF(OR(Table810[[#This Row],[Post-Review Decision]]="Include", Table810[[#This Row],[Post-Review Decision]]="Include if possible", Table810[[#This Row],[Post-Review Decision]]="Include (Omit % Avg if needed)",  Table810[[#This Row],[Post-Review Decision]]="Include (Omit % Avg)"),Table810[[#This Row],[EAR Total Capacity]],"")</f>
        <v>45326</v>
      </c>
      <c r="R94" s="28">
        <v>38495</v>
      </c>
      <c r="S94" s="46">
        <v>39032</v>
      </c>
      <c r="T94" s="28" t="s">
        <v>550</v>
      </c>
      <c r="U94" s="28" t="s">
        <v>551</v>
      </c>
      <c r="V94" s="13" t="s">
        <v>552</v>
      </c>
      <c r="W94" s="12" t="b">
        <f>ISNUMBER(Table810[[#This Row],[EAR Total Capacity]])</f>
        <v>1</v>
      </c>
      <c r="X94" s="12" t="s">
        <v>75</v>
      </c>
      <c r="Y94" s="12" t="b">
        <f>IFERROR(IF(YEAR(Table810[[#This Row],[RISE Storage End Date]])=2025,TRUE,FALSE),FALSE)</f>
        <v>0</v>
      </c>
      <c r="Z94" s="11" t="b">
        <v>0</v>
      </c>
      <c r="AA94" s="13">
        <v>212</v>
      </c>
      <c r="AB94" s="13" t="s">
        <v>76</v>
      </c>
      <c r="AC94" s="13" t="s">
        <v>553</v>
      </c>
      <c r="AD94" s="13" t="s">
        <v>550</v>
      </c>
      <c r="AE94" s="13" t="s">
        <v>78</v>
      </c>
      <c r="AF94" s="13" t="s">
        <v>554</v>
      </c>
      <c r="AG94" s="13" t="s">
        <v>80</v>
      </c>
      <c r="AH94" s="13" t="s">
        <v>81</v>
      </c>
      <c r="AI94" s="13" t="s">
        <v>93</v>
      </c>
      <c r="AJ94" s="19">
        <v>45326</v>
      </c>
      <c r="AK94" s="18"/>
      <c r="AL94" s="18"/>
      <c r="AM94" s="13" t="s">
        <v>555</v>
      </c>
      <c r="AN94" s="13" t="s">
        <v>84</v>
      </c>
      <c r="AO94" s="13" t="s">
        <v>550</v>
      </c>
      <c r="AP94" s="13" t="s">
        <v>550</v>
      </c>
      <c r="AQ94" s="21" t="s">
        <v>64</v>
      </c>
      <c r="AR94" s="25"/>
      <c r="AS94" s="25"/>
      <c r="AT94" s="25"/>
      <c r="AU94" s="25"/>
      <c r="AV94" s="25"/>
      <c r="AW94" s="25"/>
      <c r="AX94" s="24"/>
    </row>
    <row r="95" spans="1:50" ht="16.5" customHeight="1">
      <c r="A95" s="36" t="s">
        <v>556</v>
      </c>
      <c r="B95" s="28" t="s">
        <v>68</v>
      </c>
      <c r="C95" s="28" t="s">
        <v>69</v>
      </c>
      <c r="D95" s="28"/>
      <c r="E95" s="28" t="s">
        <v>70</v>
      </c>
      <c r="F95" s="28">
        <v>7169</v>
      </c>
      <c r="G95" s="28">
        <v>3</v>
      </c>
      <c r="H95" s="28" t="str">
        <f>IF(ISNUMBER(Table810[[#This Row],[Total Capacity]]),"USBR Enterprise Asset Registry",IF(Table810[[#This Row],[Total Capacity]]="",""))</f>
        <v>USBR Enterprise Asset Registry</v>
      </c>
      <c r="I95" s="28" t="s">
        <v>71</v>
      </c>
      <c r="J95" s="28" t="s">
        <v>72</v>
      </c>
      <c r="K95" s="28"/>
      <c r="L95" s="50">
        <v>10500</v>
      </c>
      <c r="M95" s="48"/>
      <c r="N95" s="50">
        <v>10500</v>
      </c>
      <c r="O95" s="28"/>
      <c r="P95" s="37"/>
      <c r="Q95" s="28">
        <f>IF(OR(Table810[[#This Row],[Post-Review Decision]]="Include", Table810[[#This Row],[Post-Review Decision]]="Include if possible", Table810[[#This Row],[Post-Review Decision]]="Include (Omit % Avg if needed)",  Table810[[#This Row],[Post-Review Decision]]="Include (Omit % Avg)"),Table810[[#This Row],[EAR Total Capacity]],"")</f>
        <v>15700</v>
      </c>
      <c r="R95" s="28">
        <v>10500</v>
      </c>
      <c r="S95" s="46">
        <v>10500</v>
      </c>
      <c r="T95" s="28" t="s">
        <v>557</v>
      </c>
      <c r="U95" s="28" t="s">
        <v>558</v>
      </c>
      <c r="V95" s="13" t="s">
        <v>559</v>
      </c>
      <c r="W95" s="12" t="b">
        <f>ISNUMBER(Table810[[#This Row],[EAR Total Capacity]])</f>
        <v>1</v>
      </c>
      <c r="X95" s="12" t="s">
        <v>75</v>
      </c>
      <c r="Y95" s="12" t="b">
        <f>IFERROR(IF(YEAR(Table810[[#This Row],[RISE Storage End Date]])=2025,TRUE,FALSE),FALSE)</f>
        <v>0</v>
      </c>
      <c r="Z95" s="11" t="b">
        <v>0</v>
      </c>
      <c r="AA95" s="13">
        <v>77</v>
      </c>
      <c r="AB95" s="13" t="s">
        <v>76</v>
      </c>
      <c r="AC95" s="13" t="s">
        <v>556</v>
      </c>
      <c r="AD95" s="13" t="s">
        <v>556</v>
      </c>
      <c r="AE95" s="13" t="s">
        <v>78</v>
      </c>
      <c r="AF95" s="13" t="s">
        <v>560</v>
      </c>
      <c r="AG95" s="13" t="s">
        <v>80</v>
      </c>
      <c r="AH95" s="13" t="s">
        <v>81</v>
      </c>
      <c r="AI95" s="13" t="s">
        <v>93</v>
      </c>
      <c r="AJ95" s="19">
        <v>15700</v>
      </c>
      <c r="AK95" s="18"/>
      <c r="AL95" s="18"/>
      <c r="AM95" s="13" t="s">
        <v>561</v>
      </c>
      <c r="AN95" s="13" t="s">
        <v>84</v>
      </c>
      <c r="AO95" s="13" t="s">
        <v>556</v>
      </c>
      <c r="AP95" s="13" t="s">
        <v>562</v>
      </c>
      <c r="AQ95" s="21" t="s">
        <v>64</v>
      </c>
      <c r="AR95" s="25"/>
      <c r="AS95" s="25"/>
      <c r="AT95" s="25"/>
      <c r="AU95" s="25"/>
      <c r="AV95" s="25"/>
      <c r="AW95" s="25"/>
      <c r="AX95" s="24"/>
    </row>
    <row r="96" spans="1:50" ht="16.5" customHeight="1">
      <c r="A96" s="36" t="s">
        <v>563</v>
      </c>
      <c r="B96" s="28" t="s">
        <v>68</v>
      </c>
      <c r="C96" s="30" t="s">
        <v>52</v>
      </c>
      <c r="D96" s="28" t="s">
        <v>125</v>
      </c>
      <c r="E96" s="28" t="s">
        <v>126</v>
      </c>
      <c r="F96" s="28" t="s">
        <v>61</v>
      </c>
      <c r="G96" s="28">
        <v>3</v>
      </c>
      <c r="H96" s="28" t="str">
        <f>IF(ISNUMBER(Table810[[#This Row],[Total Capacity]]),"USBR Enterprise Asset Registry",IF(Table810[[#This Row],[Total Capacity]]="",""))</f>
        <v>USBR Enterprise Asset Registry</v>
      </c>
      <c r="I96" s="28" t="s">
        <v>71</v>
      </c>
      <c r="J96" s="28" t="s">
        <v>72</v>
      </c>
      <c r="K96" s="28"/>
      <c r="L96" s="50">
        <v>13000</v>
      </c>
      <c r="M96" s="48"/>
      <c r="N96" s="50">
        <v>13000</v>
      </c>
      <c r="O96" s="28"/>
      <c r="P96" s="39" t="s">
        <v>564</v>
      </c>
      <c r="Q96" s="28">
        <f>IF(OR(Table810[[#This Row],[Post-Review Decision]]="Include", Table810[[#This Row],[Post-Review Decision]]="Include if possible", Table810[[#This Row],[Post-Review Decision]]="Include (Omit % Avg if needed)",  Table810[[#This Row],[Post-Review Decision]]="Include (Omit % Avg)"),Table810[[#This Row],[EAR Total Capacity]],"")</f>
        <v>13000</v>
      </c>
      <c r="R96" s="28">
        <v>13000</v>
      </c>
      <c r="S96" s="46">
        <v>13000</v>
      </c>
      <c r="T96" s="28" t="s">
        <v>565</v>
      </c>
      <c r="U96" s="28" t="s">
        <v>566</v>
      </c>
      <c r="V96" s="13" t="s">
        <v>559</v>
      </c>
      <c r="W96" s="12" t="b">
        <f>ISNUMBER(Table810[[#This Row],[EAR Total Capacity]])</f>
        <v>1</v>
      </c>
      <c r="X96" s="12" t="b">
        <f>IF(Table810[[#This Row],[Has  Storage for Full Averaging Period?]]="OK",TRUE,FALSE)</f>
        <v>0</v>
      </c>
      <c r="Y96" s="12" t="b">
        <f>IFERROR(IF(YEAR(Table810[[#This Row],[RISE Storage End Date]])=2025,TRUE,FALSE),FALSE)</f>
        <v>0</v>
      </c>
      <c r="Z96" s="11" t="b">
        <v>0</v>
      </c>
      <c r="AA96" s="13">
        <v>78</v>
      </c>
      <c r="AB96" s="13" t="s">
        <v>76</v>
      </c>
      <c r="AC96" s="13" t="s">
        <v>563</v>
      </c>
      <c r="AD96" s="13" t="s">
        <v>563</v>
      </c>
      <c r="AE96" s="13" t="s">
        <v>78</v>
      </c>
      <c r="AF96" s="13" t="s">
        <v>567</v>
      </c>
      <c r="AG96" s="13" t="s">
        <v>80</v>
      </c>
      <c r="AH96" s="13" t="s">
        <v>81</v>
      </c>
      <c r="AI96" s="13" t="s">
        <v>93</v>
      </c>
      <c r="AJ96" s="14">
        <v>13000</v>
      </c>
      <c r="AK96" s="15">
        <v>-119.75230000000001</v>
      </c>
      <c r="AL96" s="15">
        <v>48.5381</v>
      </c>
      <c r="AM96" s="15" t="s">
        <v>61</v>
      </c>
      <c r="AN96" s="15" t="s">
        <v>61</v>
      </c>
      <c r="AO96" s="15" t="s">
        <v>61</v>
      </c>
      <c r="AP96" s="15" t="s">
        <v>61</v>
      </c>
      <c r="AQ96" s="21" t="s">
        <v>136</v>
      </c>
      <c r="AR96" s="25"/>
      <c r="AS96" s="25"/>
      <c r="AT96" s="25"/>
      <c r="AU96" s="25"/>
      <c r="AV96" s="25"/>
      <c r="AW96" s="25"/>
      <c r="AX96" s="24"/>
    </row>
    <row r="97" spans="1:50" ht="16.5" customHeight="1">
      <c r="A97" s="36" t="s">
        <v>568</v>
      </c>
      <c r="B97" s="28"/>
      <c r="C97" s="28" t="s">
        <v>97</v>
      </c>
      <c r="D97" s="28"/>
      <c r="E97" s="28"/>
      <c r="F97" s="28" t="s">
        <v>61</v>
      </c>
      <c r="G97" s="28"/>
      <c r="H97" s="28" t="str">
        <f>IF(ISNUMBER(Table810[[#This Row],[Total Capacity]]),"USBR Enterprise Asset Registry",IF(Table810[[#This Row],[Total Capacity]]="",""))</f>
        <v/>
      </c>
      <c r="I97" s="28"/>
      <c r="J97" s="28"/>
      <c r="K97" s="28"/>
      <c r="L97" s="50" t="s">
        <v>98</v>
      </c>
      <c r="M97" s="48"/>
      <c r="N97" s="50" t="s">
        <v>98</v>
      </c>
      <c r="O97" s="28"/>
      <c r="P97" s="37"/>
      <c r="Q97" s="28" t="str">
        <f>IF(OR(Table810[[#This Row],[Post-Review Decision]]="Include", Table810[[#This Row],[Post-Review Decision]]="Include if possible", Table810[[#This Row],[Post-Review Decision]]="Include (Omit % Avg if needed)",  Table810[[#This Row],[Post-Review Decision]]="Include (Omit % Avg)"),Table810[[#This Row],[EAR Total Capacity]],"")</f>
        <v/>
      </c>
      <c r="R97" s="28"/>
      <c r="S97" s="45">
        <v>0</v>
      </c>
      <c r="T97" s="28"/>
      <c r="U97" s="28"/>
      <c r="V97" s="13" t="s">
        <v>74</v>
      </c>
      <c r="W97" s="12" t="b">
        <f>ISNUMBER(Table810[[#This Row],[EAR Total Capacity]])</f>
        <v>0</v>
      </c>
      <c r="X97" s="12" t="b">
        <f>IF(Table810[[#This Row],[Has  Storage for Full Averaging Period?]]="OK",TRUE,FALSE)</f>
        <v>0</v>
      </c>
      <c r="Y97" s="12" t="b">
        <f>IFERROR(IF(YEAR(Table810[[#This Row],[RISE Storage End Date]])=2025,TRUE,FALSE),FALSE)</f>
        <v>0</v>
      </c>
      <c r="Z97" s="11" t="b">
        <v>0</v>
      </c>
      <c r="AA97" s="13">
        <v>79</v>
      </c>
      <c r="AB97" s="13" t="s">
        <v>76</v>
      </c>
      <c r="AC97" s="13" t="s">
        <v>569</v>
      </c>
      <c r="AD97" s="13" t="s">
        <v>568</v>
      </c>
      <c r="AE97" s="13" t="s">
        <v>101</v>
      </c>
      <c r="AF97" s="13" t="s">
        <v>570</v>
      </c>
      <c r="AG97" s="13" t="s">
        <v>80</v>
      </c>
      <c r="AH97" s="13" t="s">
        <v>81</v>
      </c>
      <c r="AI97" s="13" t="s">
        <v>103</v>
      </c>
      <c r="AJ97" s="14"/>
      <c r="AK97" s="15"/>
      <c r="AL97" s="15"/>
      <c r="AM97" s="15" t="s">
        <v>61</v>
      </c>
      <c r="AN97" s="15" t="s">
        <v>61</v>
      </c>
      <c r="AO97" s="15" t="s">
        <v>61</v>
      </c>
      <c r="AP97" s="15" t="s">
        <v>61</v>
      </c>
      <c r="AQ97" s="22"/>
      <c r="AR97" s="25"/>
      <c r="AS97" s="25"/>
      <c r="AT97" s="25"/>
      <c r="AU97" s="25"/>
      <c r="AV97" s="25"/>
      <c r="AW97" s="25"/>
      <c r="AX97" s="24"/>
    </row>
    <row r="98" spans="1:50" ht="16.5" customHeight="1">
      <c r="A98" s="36" t="s">
        <v>571</v>
      </c>
      <c r="B98" s="28"/>
      <c r="C98" s="28" t="s">
        <v>97</v>
      </c>
      <c r="D98" s="28"/>
      <c r="E98" s="28"/>
      <c r="F98" s="28" t="s">
        <v>61</v>
      </c>
      <c r="G98" s="28"/>
      <c r="H98" s="28" t="str">
        <f>IF(ISNUMBER(Table810[[#This Row],[Total Capacity]]),"USBR Enterprise Asset Registry",IF(Table810[[#This Row],[Total Capacity]]="",""))</f>
        <v/>
      </c>
      <c r="I98" s="28"/>
      <c r="J98" s="28"/>
      <c r="K98" s="28"/>
      <c r="L98" s="50" t="s">
        <v>98</v>
      </c>
      <c r="M98" s="48"/>
      <c r="N98" s="50" t="s">
        <v>98</v>
      </c>
      <c r="O98" s="28"/>
      <c r="P98" s="37"/>
      <c r="Q98" s="28" t="str">
        <f>IF(OR(Table810[[#This Row],[Post-Review Decision]]="Include", Table810[[#This Row],[Post-Review Decision]]="Include if possible", Table810[[#This Row],[Post-Review Decision]]="Include (Omit % Avg if needed)",  Table810[[#This Row],[Post-Review Decision]]="Include (Omit % Avg)"),Table810[[#This Row],[EAR Total Capacity]],"")</f>
        <v/>
      </c>
      <c r="R98" s="28">
        <v>1778</v>
      </c>
      <c r="S98" s="46">
        <v>2074</v>
      </c>
      <c r="T98" s="28"/>
      <c r="U98" s="28"/>
      <c r="V98" s="13" t="s">
        <v>572</v>
      </c>
      <c r="W98" s="12" t="b">
        <f>ISNUMBER(Table810[[#This Row],[EAR Total Capacity]])</f>
        <v>1</v>
      </c>
      <c r="X98" s="12" t="b">
        <f>IF(Table810[[#This Row],[Has  Storage for Full Averaging Period?]]="OK",TRUE,FALSE)</f>
        <v>0</v>
      </c>
      <c r="Y98" s="12" t="b">
        <f>IFERROR(IF(YEAR(Table810[[#This Row],[RISE Storage End Date]])=2025,TRUE,FALSE),FALSE)</f>
        <v>0</v>
      </c>
      <c r="Z98" s="11" t="b">
        <v>0</v>
      </c>
      <c r="AA98" s="13">
        <v>80</v>
      </c>
      <c r="AB98" s="13" t="s">
        <v>76</v>
      </c>
      <c r="AC98" s="13" t="s">
        <v>573</v>
      </c>
      <c r="AD98" s="13" t="s">
        <v>571</v>
      </c>
      <c r="AE98" s="13" t="s">
        <v>78</v>
      </c>
      <c r="AF98" s="13" t="s">
        <v>574</v>
      </c>
      <c r="AG98" s="13" t="s">
        <v>159</v>
      </c>
      <c r="AH98" s="13" t="s">
        <v>160</v>
      </c>
      <c r="AI98" s="13" t="s">
        <v>82</v>
      </c>
      <c r="AJ98" s="14">
        <v>2095</v>
      </c>
      <c r="AK98" s="15"/>
      <c r="AL98" s="15"/>
      <c r="AM98" s="15" t="s">
        <v>61</v>
      </c>
      <c r="AN98" s="15" t="s">
        <v>61</v>
      </c>
      <c r="AO98" s="15" t="s">
        <v>61</v>
      </c>
      <c r="AP98" s="15" t="s">
        <v>61</v>
      </c>
      <c r="AQ98" s="21" t="s">
        <v>136</v>
      </c>
      <c r="AR98" s="25"/>
      <c r="AS98" s="25"/>
      <c r="AT98" s="25"/>
      <c r="AU98" s="25"/>
      <c r="AV98" s="25"/>
      <c r="AW98" s="25"/>
      <c r="AX98" s="24"/>
    </row>
    <row r="99" spans="1:50" ht="16.5" customHeight="1">
      <c r="A99" s="36" t="s">
        <v>575</v>
      </c>
      <c r="B99" s="28"/>
      <c r="C99" s="28" t="s">
        <v>97</v>
      </c>
      <c r="D99" s="28"/>
      <c r="E99" s="28"/>
      <c r="F99" s="28" t="s">
        <v>61</v>
      </c>
      <c r="G99" s="28"/>
      <c r="H99" s="28" t="str">
        <f>IF(ISNUMBER(Table810[[#This Row],[Total Capacity]]),"USBR Enterprise Asset Registry",IF(Table810[[#This Row],[Total Capacity]]="",""))</f>
        <v/>
      </c>
      <c r="I99" s="28"/>
      <c r="J99" s="28"/>
      <c r="K99" s="28"/>
      <c r="L99" s="50" t="s">
        <v>98</v>
      </c>
      <c r="M99" s="48"/>
      <c r="N99" s="50" t="s">
        <v>98</v>
      </c>
      <c r="O99" s="28"/>
      <c r="P99" s="37"/>
      <c r="Q99" s="28" t="str">
        <f>IF(OR(Table810[[#This Row],[Post-Review Decision]]="Include", Table810[[#This Row],[Post-Review Decision]]="Include if possible", Table810[[#This Row],[Post-Review Decision]]="Include (Omit % Avg if needed)",  Table810[[#This Row],[Post-Review Decision]]="Include (Omit % Avg)"),Table810[[#This Row],[EAR Total Capacity]],"")</f>
        <v/>
      </c>
      <c r="R99" s="28"/>
      <c r="S99" s="45">
        <v>0</v>
      </c>
      <c r="T99" s="28"/>
      <c r="U99" s="28"/>
      <c r="V99" s="13" t="s">
        <v>363</v>
      </c>
      <c r="W99" s="12" t="b">
        <f>ISNUMBER(Table810[[#This Row],[EAR Total Capacity]])</f>
        <v>0</v>
      </c>
      <c r="X99" s="12" t="b">
        <f>IF(Table810[[#This Row],[Has  Storage for Full Averaging Period?]]="OK",TRUE,FALSE)</f>
        <v>0</v>
      </c>
      <c r="Y99" s="12" t="b">
        <f>IFERROR(IF(YEAR(Table810[[#This Row],[RISE Storage End Date]])=2025,TRUE,FALSE),FALSE)</f>
        <v>0</v>
      </c>
      <c r="Z99" s="11" t="b">
        <v>0</v>
      </c>
      <c r="AA99" s="13">
        <v>81</v>
      </c>
      <c r="AB99" s="13" t="s">
        <v>76</v>
      </c>
      <c r="AC99" s="13" t="s">
        <v>576</v>
      </c>
      <c r="AD99" s="13" t="s">
        <v>575</v>
      </c>
      <c r="AE99" s="13" t="s">
        <v>101</v>
      </c>
      <c r="AF99" s="13" t="s">
        <v>575</v>
      </c>
      <c r="AG99" s="13" t="s">
        <v>91</v>
      </c>
      <c r="AH99" s="13" t="s">
        <v>92</v>
      </c>
      <c r="AI99" s="13" t="s">
        <v>103</v>
      </c>
      <c r="AJ99" s="14"/>
      <c r="AK99" s="15"/>
      <c r="AL99" s="15"/>
      <c r="AM99" s="15" t="s">
        <v>61</v>
      </c>
      <c r="AN99" s="15" t="s">
        <v>61</v>
      </c>
      <c r="AO99" s="15" t="s">
        <v>61</v>
      </c>
      <c r="AP99" s="15" t="s">
        <v>61</v>
      </c>
      <c r="AQ99" s="22"/>
      <c r="AR99" s="25"/>
      <c r="AS99" s="25"/>
      <c r="AT99" s="25"/>
      <c r="AU99" s="25"/>
      <c r="AV99" s="25"/>
      <c r="AW99" s="25"/>
      <c r="AX99" s="24"/>
    </row>
    <row r="100" spans="1:50" ht="16.5" customHeight="1">
      <c r="A100" s="36" t="s">
        <v>577</v>
      </c>
      <c r="B100" s="28" t="s">
        <v>68</v>
      </c>
      <c r="C100" s="28" t="s">
        <v>69</v>
      </c>
      <c r="D100" s="28"/>
      <c r="E100" s="28" t="s">
        <v>70</v>
      </c>
      <c r="F100" s="28">
        <v>7172</v>
      </c>
      <c r="G100" s="28">
        <v>3</v>
      </c>
      <c r="H100" s="28" t="str">
        <f>IF(ISNUMBER(Table810[[#This Row],[Total Capacity]]),"USBR Enterprise Asset Registry",IF(Table810[[#This Row],[Total Capacity]]="",""))</f>
        <v>USBR Enterprise Asset Registry</v>
      </c>
      <c r="I100" s="28" t="s">
        <v>71</v>
      </c>
      <c r="J100" s="28" t="s">
        <v>72</v>
      </c>
      <c r="K100" s="28"/>
      <c r="L100" s="50">
        <v>55300</v>
      </c>
      <c r="M100" s="48"/>
      <c r="N100" s="50">
        <v>55300</v>
      </c>
      <c r="O100" s="28"/>
      <c r="P100" s="37"/>
      <c r="Q100" s="28">
        <f>IF(OR(Table810[[#This Row],[Post-Review Decision]]="Include", Table810[[#This Row],[Post-Review Decision]]="Include if possible", Table810[[#This Row],[Post-Review Decision]]="Include (Omit % Avg if needed)",  Table810[[#This Row],[Post-Review Decision]]="Include (Omit % Avg)"),Table810[[#This Row],[EAR Total Capacity]],"")</f>
        <v>59724</v>
      </c>
      <c r="R100" s="28">
        <v>55300</v>
      </c>
      <c r="S100" s="46">
        <v>59724</v>
      </c>
      <c r="T100" s="28" t="s">
        <v>577</v>
      </c>
      <c r="U100" s="28" t="s">
        <v>578</v>
      </c>
      <c r="V100" s="13" t="s">
        <v>579</v>
      </c>
      <c r="W100" s="12" t="b">
        <f>ISNUMBER(Table810[[#This Row],[EAR Total Capacity]])</f>
        <v>1</v>
      </c>
      <c r="X100" s="12" t="s">
        <v>75</v>
      </c>
      <c r="Y100" s="12" t="b">
        <f>IFERROR(IF(YEAR(Table810[[#This Row],[RISE Storage End Date]])=2025,TRUE,FALSE),FALSE)</f>
        <v>0</v>
      </c>
      <c r="Z100" s="11" t="b">
        <v>0</v>
      </c>
      <c r="AA100" s="13">
        <v>82</v>
      </c>
      <c r="AB100" s="13" t="s">
        <v>76</v>
      </c>
      <c r="AC100" s="13" t="s">
        <v>580</v>
      </c>
      <c r="AD100" s="13" t="s">
        <v>577</v>
      </c>
      <c r="AE100" s="13" t="s">
        <v>78</v>
      </c>
      <c r="AF100" s="13" t="s">
        <v>581</v>
      </c>
      <c r="AG100" s="13" t="s">
        <v>80</v>
      </c>
      <c r="AH100" s="13" t="s">
        <v>81</v>
      </c>
      <c r="AI100" s="13" t="s">
        <v>93</v>
      </c>
      <c r="AJ100" s="19">
        <v>59724</v>
      </c>
      <c r="AK100" s="18"/>
      <c r="AL100" s="18"/>
      <c r="AM100" s="13" t="s">
        <v>582</v>
      </c>
      <c r="AN100" s="13" t="s">
        <v>84</v>
      </c>
      <c r="AO100" s="13" t="s">
        <v>577</v>
      </c>
      <c r="AP100" s="13" t="s">
        <v>577</v>
      </c>
      <c r="AQ100" s="21" t="s">
        <v>64</v>
      </c>
      <c r="AR100" s="25"/>
      <c r="AS100" s="25"/>
      <c r="AT100" s="25"/>
      <c r="AU100" s="25"/>
      <c r="AV100" s="25"/>
      <c r="AW100" s="25"/>
      <c r="AX100" s="24"/>
    </row>
    <row r="101" spans="1:50" ht="16.5" customHeight="1">
      <c r="A101" s="36" t="s">
        <v>583</v>
      </c>
      <c r="B101" s="28" t="s">
        <v>68</v>
      </c>
      <c r="C101" s="28" t="s">
        <v>86</v>
      </c>
      <c r="D101" s="28"/>
      <c r="E101" s="28" t="s">
        <v>70</v>
      </c>
      <c r="F101" s="30">
        <v>3683</v>
      </c>
      <c r="G101" s="28">
        <v>3</v>
      </c>
      <c r="H101" s="28" t="str">
        <f>IF(ISNUMBER(Table810[[#This Row],[Total Capacity]]),"USBR Enterprise Asset Registry",IF(Table810[[#This Row],[Total Capacity]]="",""))</f>
        <v>USBR Enterprise Asset Registry</v>
      </c>
      <c r="I101" s="28" t="s">
        <v>57</v>
      </c>
      <c r="J101" s="28" t="s">
        <v>72</v>
      </c>
      <c r="K101" s="28"/>
      <c r="L101" s="50">
        <v>14395</v>
      </c>
      <c r="M101" s="48"/>
      <c r="N101" s="50">
        <v>14395</v>
      </c>
      <c r="O101" s="28"/>
      <c r="P101" s="37"/>
      <c r="Q101" s="28">
        <f>IF(OR(Table810[[#This Row],[Post-Review Decision]]="Include", Table810[[#This Row],[Post-Review Decision]]="Include if possible", Table810[[#This Row],[Post-Review Decision]]="Include (Omit % Avg if needed)",  Table810[[#This Row],[Post-Review Decision]]="Include (Omit % Avg)"),Table810[[#This Row],[EAR Total Capacity]],"")</f>
        <v>14395</v>
      </c>
      <c r="R101" s="28">
        <v>14064</v>
      </c>
      <c r="S101" s="46">
        <v>14126</v>
      </c>
      <c r="T101" s="28" t="s">
        <v>583</v>
      </c>
      <c r="U101" s="28" t="s">
        <v>584</v>
      </c>
      <c r="V101" s="13" t="s">
        <v>585</v>
      </c>
      <c r="W101" s="12" t="b">
        <f>ISNUMBER(Table810[[#This Row],[EAR Total Capacity]])</f>
        <v>1</v>
      </c>
      <c r="X101" s="12" t="b">
        <f>IF(Table810[[#This Row],[Has  Storage for Full Averaging Period?]]="OK",TRUE,FALSE)</f>
        <v>1</v>
      </c>
      <c r="Y101" s="12" t="b">
        <f>IFERROR(IF(YEAR(Table810[[#This Row],[RISE Storage End Date]])=2025,TRUE,FALSE),FALSE)</f>
        <v>1</v>
      </c>
      <c r="Z101" s="11" t="b">
        <v>0</v>
      </c>
      <c r="AA101" s="13">
        <v>83</v>
      </c>
      <c r="AB101" s="13" t="s">
        <v>76</v>
      </c>
      <c r="AC101" s="13" t="s">
        <v>586</v>
      </c>
      <c r="AD101" s="13" t="s">
        <v>583</v>
      </c>
      <c r="AE101" s="13" t="s">
        <v>78</v>
      </c>
      <c r="AF101" s="13" t="s">
        <v>587</v>
      </c>
      <c r="AG101" s="13" t="s">
        <v>91</v>
      </c>
      <c r="AH101" s="13" t="s">
        <v>102</v>
      </c>
      <c r="AI101" s="13" t="s">
        <v>82</v>
      </c>
      <c r="AJ101" s="14">
        <v>14395</v>
      </c>
      <c r="AK101" s="18"/>
      <c r="AL101" s="18"/>
      <c r="AM101" s="13" t="s">
        <v>588</v>
      </c>
      <c r="AN101" s="13" t="s">
        <v>63</v>
      </c>
      <c r="AO101" s="13" t="s">
        <v>583</v>
      </c>
      <c r="AP101" s="13" t="s">
        <v>583</v>
      </c>
      <c r="AQ101" s="21" t="s">
        <v>64</v>
      </c>
      <c r="AR101" s="26">
        <v>27330</v>
      </c>
      <c r="AS101" s="26">
        <v>46007</v>
      </c>
      <c r="AT101" s="25">
        <v>18679</v>
      </c>
      <c r="AU101" s="25" t="s">
        <v>65</v>
      </c>
      <c r="AV101" s="25" t="s">
        <v>65</v>
      </c>
      <c r="AW101" s="25" t="s">
        <v>65</v>
      </c>
      <c r="AX101" s="24"/>
    </row>
    <row r="102" spans="1:50" ht="16.5" customHeight="1">
      <c r="A102" s="36" t="s">
        <v>589</v>
      </c>
      <c r="B102" s="55" t="s">
        <v>75</v>
      </c>
      <c r="C102" s="30" t="s">
        <v>52</v>
      </c>
      <c r="D102" s="30" t="s">
        <v>590</v>
      </c>
      <c r="E102" s="30" t="s">
        <v>70</v>
      </c>
      <c r="F102" s="28">
        <v>7173</v>
      </c>
      <c r="G102" s="30">
        <v>3</v>
      </c>
      <c r="H102" s="30" t="s">
        <v>284</v>
      </c>
      <c r="I102" s="30" t="s">
        <v>57</v>
      </c>
      <c r="J102" s="30" t="s">
        <v>72</v>
      </c>
      <c r="K102" s="30"/>
      <c r="L102" s="52" t="e">
        <v>#VALUE!</v>
      </c>
      <c r="M102" s="48"/>
      <c r="N102" s="50" t="e">
        <v>#VALUE!</v>
      </c>
      <c r="O102" s="30"/>
      <c r="P102" s="39" t="s">
        <v>591</v>
      </c>
      <c r="Q102" s="30" t="str">
        <f>IF(OR(Table810[[#This Row],[Post-Review Decision]]="Include", Table810[[#This Row],[Post-Review Decision]]="Include if possible", Table810[[#This Row],[Post-Review Decision]]="Include (Omit % Avg if needed)",  Table810[[#This Row],[Post-Review Decision]]="Include (Omit % Avg)"),Table810[[#This Row],[EAR Total Capacity]],"")</f>
        <v>--</v>
      </c>
      <c r="R102" s="30"/>
      <c r="S102" s="45" t="s">
        <v>59</v>
      </c>
      <c r="T102" s="30" t="s">
        <v>592</v>
      </c>
      <c r="U102" s="30" t="s">
        <v>593</v>
      </c>
      <c r="V102" s="17" t="s">
        <v>61</v>
      </c>
      <c r="W102" s="12" t="b">
        <f>ISNUMBER(Table810[[#This Row],[EAR Total Capacity]])</f>
        <v>0</v>
      </c>
      <c r="X102" s="12" t="b">
        <f>IF(Table810[[#This Row],[Has  Storage for Full Averaging Period?]]="OK",TRUE,FALSE)</f>
        <v>0</v>
      </c>
      <c r="Y102" s="12" t="b">
        <f>IFERROR(IF(YEAR(Table810[[#This Row],[RISE Storage End Date]])=2025,TRUE,FALSE),FALSE)</f>
        <v>0</v>
      </c>
      <c r="Z102" s="11" t="b">
        <v>0</v>
      </c>
      <c r="AA102" s="16" t="s">
        <v>61</v>
      </c>
      <c r="AB102" s="17" t="s">
        <v>61</v>
      </c>
      <c r="AC102" s="17" t="s">
        <v>61</v>
      </c>
      <c r="AD102" s="17" t="s">
        <v>61</v>
      </c>
      <c r="AE102" s="17" t="s">
        <v>61</v>
      </c>
      <c r="AF102" s="17" t="s">
        <v>61</v>
      </c>
      <c r="AG102" s="17" t="s">
        <v>61</v>
      </c>
      <c r="AH102" s="17" t="s">
        <v>61</v>
      </c>
      <c r="AI102" s="17" t="s">
        <v>61</v>
      </c>
      <c r="AJ102" s="17" t="s">
        <v>61</v>
      </c>
      <c r="AK102" s="18"/>
      <c r="AL102" s="18"/>
      <c r="AM102" s="13" t="s">
        <v>594</v>
      </c>
      <c r="AN102" s="11" t="s">
        <v>84</v>
      </c>
      <c r="AO102" s="11" t="s">
        <v>589</v>
      </c>
      <c r="AP102" s="11" t="s">
        <v>592</v>
      </c>
      <c r="AQ102" s="21" t="s">
        <v>64</v>
      </c>
      <c r="AR102" s="25"/>
      <c r="AS102" s="25"/>
      <c r="AT102" s="25"/>
      <c r="AU102" s="25"/>
      <c r="AV102" s="25"/>
      <c r="AW102" s="25"/>
      <c r="AX102" s="23"/>
    </row>
    <row r="103" spans="1:50" ht="16.5" customHeight="1">
      <c r="A103" s="36" t="s">
        <v>595</v>
      </c>
      <c r="B103" s="28" t="s">
        <v>68</v>
      </c>
      <c r="C103" s="28" t="s">
        <v>86</v>
      </c>
      <c r="D103" s="28"/>
      <c r="E103" s="28" t="s">
        <v>70</v>
      </c>
      <c r="F103" s="28">
        <v>1534</v>
      </c>
      <c r="G103" s="28">
        <v>3</v>
      </c>
      <c r="H103" s="28" t="str">
        <f>IF(ISNUMBER(Table810[[#This Row],[Total Capacity]]),"USBR Enterprise Asset Registry",IF(Table810[[#This Row],[Total Capacity]]="",""))</f>
        <v>USBR Enterprise Asset Registry</v>
      </c>
      <c r="I103" s="28" t="s">
        <v>257</v>
      </c>
      <c r="J103" s="28" t="s">
        <v>72</v>
      </c>
      <c r="K103" s="28"/>
      <c r="L103" s="50">
        <v>17536</v>
      </c>
      <c r="M103" s="48">
        <v>17536</v>
      </c>
      <c r="N103" s="50">
        <v>17536</v>
      </c>
      <c r="O103" s="28"/>
      <c r="P103" s="37"/>
      <c r="Q103" s="28">
        <f>IF(OR(Table810[[#This Row],[Post-Review Decision]]="Include", Table810[[#This Row],[Post-Review Decision]]="Include if possible", Table810[[#This Row],[Post-Review Decision]]="Include (Omit % Avg if needed)",  Table810[[#This Row],[Post-Review Decision]]="Include (Omit % Avg)"),Table810[[#This Row],[EAR Total Capacity]],"")</f>
        <v>25273</v>
      </c>
      <c r="R103" s="28">
        <v>12928</v>
      </c>
      <c r="S103" s="46">
        <v>17573</v>
      </c>
      <c r="T103" s="28" t="s">
        <v>595</v>
      </c>
      <c r="U103" s="28" t="s">
        <v>596</v>
      </c>
      <c r="V103" s="13" t="s">
        <v>298</v>
      </c>
      <c r="W103" s="12" t="b">
        <f>ISNUMBER(Table810[[#This Row],[EAR Total Capacity]])</f>
        <v>1</v>
      </c>
      <c r="X103" s="12" t="b">
        <f>IF(Table810[[#This Row],[Has  Storage for Full Averaging Period?]]="OK",TRUE,FALSE)</f>
        <v>1</v>
      </c>
      <c r="Y103" s="12" t="b">
        <f>IFERROR(IF(YEAR(Table810[[#This Row],[RISE Storage End Date]])=2025,TRUE,FALSE),FALSE)</f>
        <v>1</v>
      </c>
      <c r="Z103" s="11" t="b">
        <v>0</v>
      </c>
      <c r="AA103" s="13">
        <v>84</v>
      </c>
      <c r="AB103" s="13" t="s">
        <v>76</v>
      </c>
      <c r="AC103" s="13" t="s">
        <v>597</v>
      </c>
      <c r="AD103" s="13" t="s">
        <v>595</v>
      </c>
      <c r="AE103" s="13" t="s">
        <v>78</v>
      </c>
      <c r="AF103" s="13" t="s">
        <v>598</v>
      </c>
      <c r="AG103" s="13" t="s">
        <v>91</v>
      </c>
      <c r="AH103" s="13" t="s">
        <v>102</v>
      </c>
      <c r="AI103" s="13" t="s">
        <v>93</v>
      </c>
      <c r="AJ103" s="14">
        <v>25273</v>
      </c>
      <c r="AK103" s="18"/>
      <c r="AL103" s="18"/>
      <c r="AM103" s="13" t="s">
        <v>599</v>
      </c>
      <c r="AN103" s="13" t="s">
        <v>63</v>
      </c>
      <c r="AO103" s="13" t="s">
        <v>595</v>
      </c>
      <c r="AP103" s="13" t="s">
        <v>595</v>
      </c>
      <c r="AQ103" s="21" t="s">
        <v>64</v>
      </c>
      <c r="AR103" s="26">
        <v>28197</v>
      </c>
      <c r="AS103" s="26">
        <v>46007</v>
      </c>
      <c r="AT103" s="25">
        <v>17812</v>
      </c>
      <c r="AU103" s="25" t="s">
        <v>65</v>
      </c>
      <c r="AV103" s="25" t="s">
        <v>65</v>
      </c>
      <c r="AW103" s="25" t="s">
        <v>65</v>
      </c>
      <c r="AX103" s="24"/>
    </row>
    <row r="104" spans="1:50" ht="16.5" customHeight="1">
      <c r="A104" s="36" t="s">
        <v>600</v>
      </c>
      <c r="B104" s="28"/>
      <c r="C104" s="28" t="s">
        <v>97</v>
      </c>
      <c r="D104" s="28"/>
      <c r="E104" s="28"/>
      <c r="F104" s="28" t="s">
        <v>61</v>
      </c>
      <c r="G104" s="28"/>
      <c r="H104" s="28" t="str">
        <f>IF(ISNUMBER(Table810[[#This Row],[Total Capacity]]),"USBR Enterprise Asset Registry",IF(Table810[[#This Row],[Total Capacity]]="",""))</f>
        <v/>
      </c>
      <c r="I104" s="28"/>
      <c r="J104" s="28"/>
      <c r="K104" s="28"/>
      <c r="L104" s="50" t="s">
        <v>98</v>
      </c>
      <c r="M104" s="48"/>
      <c r="N104" s="50" t="s">
        <v>98</v>
      </c>
      <c r="O104" s="28"/>
      <c r="P104" s="37" t="s">
        <v>601</v>
      </c>
      <c r="Q104" s="28" t="str">
        <f>IF(OR(Table810[[#This Row],[Post-Review Decision]]="Include", Table810[[#This Row],[Post-Review Decision]]="Include if possible", Table810[[#This Row],[Post-Review Decision]]="Include (Omit % Avg if needed)",  Table810[[#This Row],[Post-Review Decision]]="Include (Omit % Avg)"),Table810[[#This Row],[EAR Total Capacity]],"")</f>
        <v/>
      </c>
      <c r="R104" s="28"/>
      <c r="S104" s="45">
        <v>0</v>
      </c>
      <c r="T104" s="28"/>
      <c r="U104" s="28"/>
      <c r="V104" s="13" t="s">
        <v>220</v>
      </c>
      <c r="W104" s="12" t="b">
        <f>ISNUMBER(Table810[[#This Row],[EAR Total Capacity]])</f>
        <v>0</v>
      </c>
      <c r="X104" s="12" t="b">
        <f>IF(Table810[[#This Row],[Has  Storage for Full Averaging Period?]]="OK",TRUE,FALSE)</f>
        <v>0</v>
      </c>
      <c r="Y104" s="12" t="b">
        <f>IFERROR(IF(YEAR(Table810[[#This Row],[RISE Storage End Date]])=2025,TRUE,FALSE),FALSE)</f>
        <v>0</v>
      </c>
      <c r="Z104" s="11" t="b">
        <v>0</v>
      </c>
      <c r="AA104" s="13">
        <v>85</v>
      </c>
      <c r="AB104" s="13" t="s">
        <v>76</v>
      </c>
      <c r="AC104" s="13" t="s">
        <v>602</v>
      </c>
      <c r="AD104" s="13" t="s">
        <v>600</v>
      </c>
      <c r="AE104" s="13" t="s">
        <v>101</v>
      </c>
      <c r="AF104" s="13" t="s">
        <v>603</v>
      </c>
      <c r="AG104" s="13" t="s">
        <v>109</v>
      </c>
      <c r="AH104" s="13" t="s">
        <v>92</v>
      </c>
      <c r="AI104" s="13" t="s">
        <v>103</v>
      </c>
      <c r="AJ104" s="14"/>
      <c r="AK104" s="15"/>
      <c r="AL104" s="15"/>
      <c r="AM104" s="15" t="s">
        <v>61</v>
      </c>
      <c r="AN104" s="15" t="s">
        <v>61</v>
      </c>
      <c r="AO104" s="15" t="s">
        <v>61</v>
      </c>
      <c r="AP104" s="15" t="s">
        <v>61</v>
      </c>
      <c r="AQ104" s="22"/>
      <c r="AR104" s="25"/>
      <c r="AS104" s="25"/>
      <c r="AT104" s="25"/>
      <c r="AU104" s="25"/>
      <c r="AV104" s="25"/>
      <c r="AW104" s="25"/>
      <c r="AX104" s="24"/>
    </row>
    <row r="105" spans="1:50" ht="16.5" customHeight="1">
      <c r="A105" s="36" t="s">
        <v>604</v>
      </c>
      <c r="B105" s="28" t="s">
        <v>68</v>
      </c>
      <c r="C105" s="28" t="s">
        <v>86</v>
      </c>
      <c r="D105" s="28"/>
      <c r="E105" s="28" t="s">
        <v>70</v>
      </c>
      <c r="F105" s="28">
        <v>310</v>
      </c>
      <c r="G105" s="28">
        <v>3</v>
      </c>
      <c r="H105" s="28" t="str">
        <f>IF(ISNUMBER(Table810[[#This Row],[Total Capacity]]),"USBR Enterprise Asset Registry",IF(Table810[[#This Row],[Total Capacity]]="",""))</f>
        <v>USBR Enterprise Asset Registry</v>
      </c>
      <c r="I105" s="28" t="s">
        <v>257</v>
      </c>
      <c r="J105" s="28" t="s">
        <v>72</v>
      </c>
      <c r="K105" s="28"/>
      <c r="L105" s="50">
        <v>15464</v>
      </c>
      <c r="M105" s="48"/>
      <c r="N105" s="50">
        <v>15464</v>
      </c>
      <c r="O105" s="28"/>
      <c r="P105" s="37"/>
      <c r="Q105" s="28">
        <f>IF(OR(Table810[[#This Row],[Post-Review Decision]]="Include", Table810[[#This Row],[Post-Review Decision]]="Include if possible", Table810[[#This Row],[Post-Review Decision]]="Include (Omit % Avg if needed)",  Table810[[#This Row],[Post-Review Decision]]="Include (Omit % Avg)"),Table810[[#This Row],[EAR Total Capacity]],"")</f>
        <v>15671</v>
      </c>
      <c r="R105" s="28">
        <v>1118</v>
      </c>
      <c r="S105" s="46">
        <v>15464</v>
      </c>
      <c r="T105" s="28" t="s">
        <v>604</v>
      </c>
      <c r="U105" s="28" t="s">
        <v>605</v>
      </c>
      <c r="V105" s="13" t="s">
        <v>606</v>
      </c>
      <c r="W105" s="12" t="b">
        <f>ISNUMBER(Table810[[#This Row],[EAR Total Capacity]])</f>
        <v>1</v>
      </c>
      <c r="X105" s="12" t="b">
        <f>IF(Table810[[#This Row],[Has  Storage for Full Averaging Period?]]="OK",TRUE,FALSE)</f>
        <v>1</v>
      </c>
      <c r="Y105" s="12" t="b">
        <f>IFERROR(IF(YEAR(Table810[[#This Row],[RISE Storage End Date]])=2025,TRUE,FALSE),FALSE)</f>
        <v>1</v>
      </c>
      <c r="Z105" s="11" t="b">
        <v>0</v>
      </c>
      <c r="AA105" s="13">
        <v>86</v>
      </c>
      <c r="AB105" s="13" t="s">
        <v>76</v>
      </c>
      <c r="AC105" s="13" t="s">
        <v>607</v>
      </c>
      <c r="AD105" s="13" t="s">
        <v>604</v>
      </c>
      <c r="AE105" s="13" t="s">
        <v>78</v>
      </c>
      <c r="AF105" s="13" t="s">
        <v>608</v>
      </c>
      <c r="AG105" s="13" t="s">
        <v>91</v>
      </c>
      <c r="AH105" s="13" t="s">
        <v>102</v>
      </c>
      <c r="AI105" s="13" t="s">
        <v>110</v>
      </c>
      <c r="AJ105" s="14">
        <v>15671</v>
      </c>
      <c r="AK105" s="18"/>
      <c r="AL105" s="18"/>
      <c r="AM105" s="13" t="s">
        <v>609</v>
      </c>
      <c r="AN105" s="13" t="s">
        <v>63</v>
      </c>
      <c r="AO105" s="13" t="s">
        <v>604</v>
      </c>
      <c r="AP105" s="13" t="s">
        <v>604</v>
      </c>
      <c r="AQ105" s="21" t="s">
        <v>64</v>
      </c>
      <c r="AR105" s="26">
        <v>30228</v>
      </c>
      <c r="AS105" s="26">
        <v>46006</v>
      </c>
      <c r="AT105" s="25">
        <v>15780</v>
      </c>
      <c r="AU105" s="25" t="s">
        <v>65</v>
      </c>
      <c r="AV105" s="25" t="s">
        <v>65</v>
      </c>
      <c r="AW105" s="25" t="s">
        <v>65</v>
      </c>
      <c r="AX105" s="24"/>
    </row>
    <row r="106" spans="1:50" ht="16.5" customHeight="1">
      <c r="A106" s="36" t="s">
        <v>610</v>
      </c>
      <c r="B106" s="28"/>
      <c r="C106" s="28" t="s">
        <v>97</v>
      </c>
      <c r="D106" s="28"/>
      <c r="E106" s="28"/>
      <c r="F106" s="28" t="s">
        <v>61</v>
      </c>
      <c r="G106" s="28"/>
      <c r="H106" s="28" t="str">
        <f>IF(ISNUMBER(Table810[[#This Row],[Total Capacity]]),"USBR Enterprise Asset Registry",IF(Table810[[#This Row],[Total Capacity]]="",""))</f>
        <v/>
      </c>
      <c r="I106" s="28"/>
      <c r="J106" s="28"/>
      <c r="K106" s="28"/>
      <c r="L106" s="50" t="s">
        <v>98</v>
      </c>
      <c r="M106" s="48"/>
      <c r="N106" s="50" t="s">
        <v>98</v>
      </c>
      <c r="O106" s="28"/>
      <c r="P106" s="37"/>
      <c r="Q106" s="28" t="str">
        <f>IF(OR(Table810[[#This Row],[Post-Review Decision]]="Include", Table810[[#This Row],[Post-Review Decision]]="Include if possible", Table810[[#This Row],[Post-Review Decision]]="Include (Omit % Avg if needed)",  Table810[[#This Row],[Post-Review Decision]]="Include (Omit % Avg)"),Table810[[#This Row],[EAR Total Capacity]],"")</f>
        <v/>
      </c>
      <c r="R106" s="28"/>
      <c r="S106" s="45">
        <v>0</v>
      </c>
      <c r="T106" s="28"/>
      <c r="U106" s="28"/>
      <c r="V106" s="13" t="s">
        <v>74</v>
      </c>
      <c r="W106" s="12" t="b">
        <f>ISNUMBER(Table810[[#This Row],[EAR Total Capacity]])</f>
        <v>0</v>
      </c>
      <c r="X106" s="12" t="b">
        <f>IF(Table810[[#This Row],[Has  Storage for Full Averaging Period?]]="OK",TRUE,FALSE)</f>
        <v>0</v>
      </c>
      <c r="Y106" s="12" t="b">
        <f>IFERROR(IF(YEAR(Table810[[#This Row],[RISE Storage End Date]])=2025,TRUE,FALSE),FALSE)</f>
        <v>0</v>
      </c>
      <c r="Z106" s="11" t="b">
        <v>0</v>
      </c>
      <c r="AA106" s="13">
        <v>87</v>
      </c>
      <c r="AB106" s="13" t="s">
        <v>76</v>
      </c>
      <c r="AC106" s="13" t="s">
        <v>611</v>
      </c>
      <c r="AD106" s="13" t="s">
        <v>610</v>
      </c>
      <c r="AE106" s="13" t="s">
        <v>101</v>
      </c>
      <c r="AF106" s="13" t="s">
        <v>612</v>
      </c>
      <c r="AG106" s="13" t="s">
        <v>80</v>
      </c>
      <c r="AH106" s="13" t="s">
        <v>81</v>
      </c>
      <c r="AI106" s="13" t="s">
        <v>103</v>
      </c>
      <c r="AJ106" s="14"/>
      <c r="AK106" s="15"/>
      <c r="AL106" s="15"/>
      <c r="AM106" s="15" t="s">
        <v>61</v>
      </c>
      <c r="AN106" s="15" t="s">
        <v>61</v>
      </c>
      <c r="AO106" s="15" t="s">
        <v>61</v>
      </c>
      <c r="AP106" s="15" t="s">
        <v>61</v>
      </c>
      <c r="AQ106" s="22"/>
      <c r="AR106" s="25"/>
      <c r="AS106" s="25"/>
      <c r="AT106" s="25"/>
      <c r="AU106" s="25"/>
      <c r="AV106" s="25"/>
      <c r="AW106" s="25"/>
      <c r="AX106" s="24"/>
    </row>
    <row r="107" spans="1:50" ht="16.5" customHeight="1">
      <c r="A107" s="36" t="s">
        <v>613</v>
      </c>
      <c r="B107" s="28" t="s">
        <v>68</v>
      </c>
      <c r="C107" s="29" t="s">
        <v>321</v>
      </c>
      <c r="D107" s="29"/>
      <c r="E107" s="28" t="s">
        <v>70</v>
      </c>
      <c r="F107" s="28">
        <v>311</v>
      </c>
      <c r="G107" s="28">
        <v>3</v>
      </c>
      <c r="H107" s="29" t="str">
        <f>IF(ISNUMBER(Table810[[#This Row],[Total Capacity]]),"USBR Enterprise Asset Registry",IF(Table810[[#This Row],[Total Capacity]]="",""))</f>
        <v>USBR Enterprise Asset Registry</v>
      </c>
      <c r="I107" s="28" t="s">
        <v>57</v>
      </c>
      <c r="J107" s="28" t="s">
        <v>72</v>
      </c>
      <c r="K107" s="28">
        <v>0</v>
      </c>
      <c r="L107" s="50">
        <v>31158</v>
      </c>
      <c r="M107" s="48"/>
      <c r="N107" s="50">
        <v>31158</v>
      </c>
      <c r="O107" s="28"/>
      <c r="P107" s="38" t="s">
        <v>614</v>
      </c>
      <c r="Q107" s="29">
        <f>IF(OR(Table810[[#This Row],[Post-Review Decision]]="Include", Table810[[#This Row],[Post-Review Decision]]="Include if possible", Table810[[#This Row],[Post-Review Decision]]="Include (Omit % Avg if needed)",  Table810[[#This Row],[Post-Review Decision]]="Include (Omit % Avg)"),Table810[[#This Row],[EAR Total Capacity]],"")</f>
        <v>31158</v>
      </c>
      <c r="R107" s="29">
        <v>30986</v>
      </c>
      <c r="S107" s="46">
        <v>31082</v>
      </c>
      <c r="T107" s="29" t="s">
        <v>613</v>
      </c>
      <c r="U107" s="29" t="s">
        <v>615</v>
      </c>
      <c r="V107" s="13" t="s">
        <v>413</v>
      </c>
      <c r="W107" s="12" t="b">
        <f>ISNUMBER(Table810[[#This Row],[EAR Total Capacity]])</f>
        <v>1</v>
      </c>
      <c r="X107" s="12" t="b">
        <f>IF(Table810[[#This Row],[Has  Storage for Full Averaging Period?]]="OK",TRUE,FALSE)</f>
        <v>0</v>
      </c>
      <c r="Y107" s="12" t="b">
        <f>IFERROR(IF(YEAR(Table810[[#This Row],[RISE Storage End Date]])=2025,TRUE,FALSE),FALSE)</f>
        <v>1</v>
      </c>
      <c r="Z107" s="11" t="b">
        <v>0</v>
      </c>
      <c r="AA107" s="13">
        <v>88</v>
      </c>
      <c r="AB107" s="13" t="s">
        <v>76</v>
      </c>
      <c r="AC107" s="13" t="s">
        <v>616</v>
      </c>
      <c r="AD107" s="13" t="s">
        <v>613</v>
      </c>
      <c r="AE107" s="13" t="s">
        <v>78</v>
      </c>
      <c r="AF107" s="13" t="s">
        <v>617</v>
      </c>
      <c r="AG107" s="13" t="s">
        <v>109</v>
      </c>
      <c r="AH107" s="13" t="s">
        <v>92</v>
      </c>
      <c r="AI107" s="13" t="s">
        <v>82</v>
      </c>
      <c r="AJ107" s="14">
        <v>31158</v>
      </c>
      <c r="AK107" s="18"/>
      <c r="AL107" s="18"/>
      <c r="AM107" s="13" t="s">
        <v>618</v>
      </c>
      <c r="AN107" s="13" t="s">
        <v>95</v>
      </c>
      <c r="AO107" s="13" t="s">
        <v>613</v>
      </c>
      <c r="AP107" s="13" t="s">
        <v>613</v>
      </c>
      <c r="AQ107" s="21" t="s">
        <v>64</v>
      </c>
      <c r="AR107" s="26">
        <v>34000</v>
      </c>
      <c r="AS107" s="26">
        <v>46007</v>
      </c>
      <c r="AT107" s="25">
        <v>10782</v>
      </c>
      <c r="AU107" s="25" t="s">
        <v>66</v>
      </c>
      <c r="AV107" s="25" t="s">
        <v>65</v>
      </c>
      <c r="AW107" s="25" t="s">
        <v>66</v>
      </c>
      <c r="AX107" s="24"/>
    </row>
    <row r="108" spans="1:50" ht="16.5" customHeight="1">
      <c r="A108" s="36" t="s">
        <v>619</v>
      </c>
      <c r="B108" s="28"/>
      <c r="C108" s="28" t="s">
        <v>97</v>
      </c>
      <c r="D108" s="28"/>
      <c r="E108" s="28"/>
      <c r="F108" s="28" t="s">
        <v>61</v>
      </c>
      <c r="G108" s="28"/>
      <c r="H108" s="28" t="str">
        <f>IF(ISNUMBER(Table810[[#This Row],[Total Capacity]]),"USBR Enterprise Asset Registry",IF(Table810[[#This Row],[Total Capacity]]="",""))</f>
        <v/>
      </c>
      <c r="I108" s="28"/>
      <c r="J108" s="28"/>
      <c r="K108" s="28"/>
      <c r="L108" s="50" t="s">
        <v>98</v>
      </c>
      <c r="M108" s="48"/>
      <c r="N108" s="50" t="s">
        <v>98</v>
      </c>
      <c r="O108" s="28"/>
      <c r="P108" s="37"/>
      <c r="Q108" s="28" t="str">
        <f>IF(OR(Table810[[#This Row],[Post-Review Decision]]="Include", Table810[[#This Row],[Post-Review Decision]]="Include if possible", Table810[[#This Row],[Post-Review Decision]]="Include (Omit % Avg if needed)",  Table810[[#This Row],[Post-Review Decision]]="Include (Omit % Avg)"),Table810[[#This Row],[EAR Total Capacity]],"")</f>
        <v/>
      </c>
      <c r="R108" s="28"/>
      <c r="S108" s="45">
        <v>0</v>
      </c>
      <c r="T108" s="28"/>
      <c r="U108" s="28"/>
      <c r="V108" s="13" t="s">
        <v>74</v>
      </c>
      <c r="W108" s="12" t="b">
        <f>ISNUMBER(Table810[[#This Row],[EAR Total Capacity]])</f>
        <v>0</v>
      </c>
      <c r="X108" s="12" t="b">
        <f>IF(Table810[[#This Row],[Has  Storage for Full Averaging Period?]]="OK",TRUE,FALSE)</f>
        <v>0</v>
      </c>
      <c r="Y108" s="12" t="b">
        <f>IFERROR(IF(YEAR(Table810[[#This Row],[RISE Storage End Date]])=2025,TRUE,FALSE),FALSE)</f>
        <v>0</v>
      </c>
      <c r="Z108" s="11" t="b">
        <v>0</v>
      </c>
      <c r="AA108" s="13">
        <v>89</v>
      </c>
      <c r="AB108" s="13" t="s">
        <v>76</v>
      </c>
      <c r="AC108" s="13" t="s">
        <v>620</v>
      </c>
      <c r="AD108" s="13" t="s">
        <v>619</v>
      </c>
      <c r="AE108" s="13" t="s">
        <v>101</v>
      </c>
      <c r="AF108" s="13" t="s">
        <v>621</v>
      </c>
      <c r="AG108" s="13" t="s">
        <v>80</v>
      </c>
      <c r="AH108" s="13" t="s">
        <v>81</v>
      </c>
      <c r="AI108" s="13" t="s">
        <v>103</v>
      </c>
      <c r="AJ108" s="14"/>
      <c r="AK108" s="15"/>
      <c r="AL108" s="15"/>
      <c r="AM108" s="15" t="s">
        <v>61</v>
      </c>
      <c r="AN108" s="15" t="s">
        <v>61</v>
      </c>
      <c r="AO108" s="15" t="s">
        <v>61</v>
      </c>
      <c r="AP108" s="15" t="s">
        <v>61</v>
      </c>
      <c r="AQ108" s="22"/>
      <c r="AR108" s="25"/>
      <c r="AS108" s="25"/>
      <c r="AT108" s="25"/>
      <c r="AU108" s="25"/>
      <c r="AV108" s="25"/>
      <c r="AW108" s="25"/>
      <c r="AX108" s="24"/>
    </row>
    <row r="109" spans="1:50" ht="16.5" customHeight="1">
      <c r="A109" s="36" t="s">
        <v>622</v>
      </c>
      <c r="B109" s="28" t="s">
        <v>68</v>
      </c>
      <c r="C109" s="28" t="s">
        <v>69</v>
      </c>
      <c r="D109" s="28"/>
      <c r="E109" s="28" t="s">
        <v>70</v>
      </c>
      <c r="F109" s="28">
        <v>3649</v>
      </c>
      <c r="G109" s="28">
        <v>3</v>
      </c>
      <c r="H109" s="28" t="str">
        <f>IF(ISNUMBER(Table810[[#This Row],[Total Capacity]]),"USBR Enterprise Asset Registry",IF(Table810[[#This Row],[Total Capacity]]="",""))</f>
        <v>USBR Enterprise Asset Registry</v>
      </c>
      <c r="I109" s="28" t="s">
        <v>71</v>
      </c>
      <c r="J109" s="28" t="s">
        <v>72</v>
      </c>
      <c r="K109" s="28"/>
      <c r="L109" s="50">
        <v>153992</v>
      </c>
      <c r="M109" s="48"/>
      <c r="N109" s="50">
        <v>153992</v>
      </c>
      <c r="O109" s="28"/>
      <c r="P109" s="37"/>
      <c r="Q109" s="28">
        <f>IF(OR(Table810[[#This Row],[Post-Review Decision]]="Include", Table810[[#This Row],[Post-Review Decision]]="Include if possible", Table810[[#This Row],[Post-Review Decision]]="Include (Omit % Avg if needed)",  Table810[[#This Row],[Post-Review Decision]]="Include (Omit % Avg)"),Table810[[#This Row],[EAR Total Capacity]],"")</f>
        <v>162000</v>
      </c>
      <c r="R109" s="28">
        <v>153992</v>
      </c>
      <c r="S109" s="46">
        <v>162000</v>
      </c>
      <c r="T109" s="28" t="s">
        <v>622</v>
      </c>
      <c r="U109" s="28" t="s">
        <v>623</v>
      </c>
      <c r="V109" s="13" t="s">
        <v>288</v>
      </c>
      <c r="W109" s="12" t="b">
        <f>ISNUMBER(Table810[[#This Row],[EAR Total Capacity]])</f>
        <v>1</v>
      </c>
      <c r="X109" s="12" t="s">
        <v>75</v>
      </c>
      <c r="Y109" s="12" t="b">
        <f>IFERROR(IF(YEAR(Table810[[#This Row],[RISE Storage End Date]])=2025,TRUE,FALSE),FALSE)</f>
        <v>0</v>
      </c>
      <c r="Z109" s="11" t="b">
        <v>0</v>
      </c>
      <c r="AA109" s="13">
        <v>90</v>
      </c>
      <c r="AB109" s="13" t="s">
        <v>76</v>
      </c>
      <c r="AC109" s="13" t="s">
        <v>624</v>
      </c>
      <c r="AD109" s="13" t="s">
        <v>622</v>
      </c>
      <c r="AE109" s="13" t="s">
        <v>78</v>
      </c>
      <c r="AF109" s="13" t="s">
        <v>625</v>
      </c>
      <c r="AG109" s="13" t="s">
        <v>80</v>
      </c>
      <c r="AH109" s="13" t="s">
        <v>81</v>
      </c>
      <c r="AI109" s="13" t="s">
        <v>93</v>
      </c>
      <c r="AJ109" s="19">
        <v>162000</v>
      </c>
      <c r="AK109" s="18"/>
      <c r="AL109" s="18"/>
      <c r="AM109" s="13" t="s">
        <v>626</v>
      </c>
      <c r="AN109" s="13" t="s">
        <v>84</v>
      </c>
      <c r="AO109" s="13" t="s">
        <v>622</v>
      </c>
      <c r="AP109" s="13" t="s">
        <v>622</v>
      </c>
      <c r="AQ109" s="21" t="s">
        <v>64</v>
      </c>
      <c r="AR109" s="25"/>
      <c r="AS109" s="25"/>
      <c r="AT109" s="25"/>
      <c r="AU109" s="25"/>
      <c r="AV109" s="25"/>
      <c r="AW109" s="25"/>
      <c r="AX109" s="24"/>
    </row>
    <row r="110" spans="1:50" ht="16.5" customHeight="1">
      <c r="A110" s="36" t="s">
        <v>627</v>
      </c>
      <c r="B110" s="28"/>
      <c r="C110" s="28" t="s">
        <v>97</v>
      </c>
      <c r="D110" s="28"/>
      <c r="E110" s="28"/>
      <c r="F110" s="28" t="s">
        <v>61</v>
      </c>
      <c r="G110" s="28"/>
      <c r="H110" s="28" t="str">
        <f>IF(ISNUMBER(Table810[[#This Row],[Total Capacity]]),"USBR Enterprise Asset Registry",IF(Table810[[#This Row],[Total Capacity]]="",""))</f>
        <v/>
      </c>
      <c r="I110" s="28"/>
      <c r="J110" s="28"/>
      <c r="K110" s="28"/>
      <c r="L110" s="50" t="s">
        <v>98</v>
      </c>
      <c r="M110" s="48"/>
      <c r="N110" s="50" t="s">
        <v>98</v>
      </c>
      <c r="O110" s="28"/>
      <c r="P110" s="37"/>
      <c r="Q110" s="28" t="str">
        <f>IF(OR(Table810[[#This Row],[Post-Review Decision]]="Include", Table810[[#This Row],[Post-Review Decision]]="Include if possible", Table810[[#This Row],[Post-Review Decision]]="Include (Omit % Avg if needed)",  Table810[[#This Row],[Post-Review Decision]]="Include (Omit % Avg)"),Table810[[#This Row],[EAR Total Capacity]],"")</f>
        <v/>
      </c>
      <c r="R110" s="28">
        <v>598</v>
      </c>
      <c r="S110" s="45">
        <v>598</v>
      </c>
      <c r="T110" s="28"/>
      <c r="U110" s="28"/>
      <c r="V110" s="13" t="s">
        <v>363</v>
      </c>
      <c r="W110" s="12" t="b">
        <f>ISNUMBER(Table810[[#This Row],[EAR Total Capacity]])</f>
        <v>1</v>
      </c>
      <c r="X110" s="12" t="b">
        <f>IF(Table810[[#This Row],[Has  Storage for Full Averaging Period?]]="OK",TRUE,FALSE)</f>
        <v>0</v>
      </c>
      <c r="Y110" s="12" t="b">
        <f>IFERROR(IF(YEAR(Table810[[#This Row],[RISE Storage End Date]])=2025,TRUE,FALSE),FALSE)</f>
        <v>0</v>
      </c>
      <c r="Z110" s="11" t="b">
        <v>0</v>
      </c>
      <c r="AA110" s="13">
        <v>91</v>
      </c>
      <c r="AB110" s="13" t="s">
        <v>76</v>
      </c>
      <c r="AC110" s="13" t="s">
        <v>628</v>
      </c>
      <c r="AD110" s="13" t="s">
        <v>627</v>
      </c>
      <c r="AE110" s="13" t="s">
        <v>78</v>
      </c>
      <c r="AF110" s="13" t="s">
        <v>629</v>
      </c>
      <c r="AG110" s="13" t="s">
        <v>91</v>
      </c>
      <c r="AH110" s="13" t="s">
        <v>92</v>
      </c>
      <c r="AI110" s="13" t="s">
        <v>82</v>
      </c>
      <c r="AJ110" s="14">
        <v>681</v>
      </c>
      <c r="AK110" s="15"/>
      <c r="AL110" s="15"/>
      <c r="AM110" s="15" t="s">
        <v>61</v>
      </c>
      <c r="AN110" s="15" t="s">
        <v>61</v>
      </c>
      <c r="AO110" s="15" t="s">
        <v>61</v>
      </c>
      <c r="AP110" s="15" t="s">
        <v>61</v>
      </c>
      <c r="AQ110" s="21" t="s">
        <v>136</v>
      </c>
      <c r="AR110" s="25"/>
      <c r="AS110" s="25"/>
      <c r="AT110" s="25"/>
      <c r="AU110" s="25"/>
      <c r="AV110" s="25"/>
      <c r="AW110" s="25"/>
      <c r="AX110" s="24"/>
    </row>
    <row r="111" spans="1:50" ht="16.5" customHeight="1">
      <c r="A111" s="36" t="s">
        <v>630</v>
      </c>
      <c r="B111" s="28" t="s">
        <v>68</v>
      </c>
      <c r="C111" s="28" t="s">
        <v>86</v>
      </c>
      <c r="D111" s="28"/>
      <c r="E111" s="28" t="s">
        <v>70</v>
      </c>
      <c r="F111" s="28">
        <v>314</v>
      </c>
      <c r="G111" s="28">
        <v>3</v>
      </c>
      <c r="H111" s="28" t="str">
        <f>IF(ISNUMBER(Table810[[#This Row],[Total Capacity]]),"USBR Enterprise Asset Registry",IF(Table810[[#This Row],[Total Capacity]]="",""))</f>
        <v>USBR Enterprise Asset Registry</v>
      </c>
      <c r="I111" s="28" t="s">
        <v>257</v>
      </c>
      <c r="J111" s="28" t="s">
        <v>72</v>
      </c>
      <c r="K111" s="28"/>
      <c r="L111" s="50">
        <v>150161</v>
      </c>
      <c r="M111" s="48"/>
      <c r="N111" s="50">
        <v>150161</v>
      </c>
      <c r="O111" s="28"/>
      <c r="P111" s="37"/>
      <c r="Q111" s="28">
        <f>IF(OR(Table810[[#This Row],[Post-Review Decision]]="Include", Table810[[#This Row],[Post-Review Decision]]="Include if possible", Table810[[#This Row],[Post-Review Decision]]="Include (Omit % Avg if needed)",  Table810[[#This Row],[Post-Review Decision]]="Include (Omit % Avg)"),Table810[[#This Row],[EAR Total Capacity]],"")</f>
        <v>153445</v>
      </c>
      <c r="R111" s="28">
        <v>150161</v>
      </c>
      <c r="S111" s="46">
        <v>150161</v>
      </c>
      <c r="T111" s="28" t="s">
        <v>630</v>
      </c>
      <c r="U111" s="28" t="s">
        <v>631</v>
      </c>
      <c r="V111" s="13" t="s">
        <v>224</v>
      </c>
      <c r="W111" s="12" t="b">
        <f>ISNUMBER(Table810[[#This Row],[EAR Total Capacity]])</f>
        <v>1</v>
      </c>
      <c r="X111" s="12" t="b">
        <f>IF(Table810[[#This Row],[Has  Storage for Full Averaging Period?]]="OK",TRUE,FALSE)</f>
        <v>1</v>
      </c>
      <c r="Y111" s="12" t="b">
        <f>IFERROR(IF(YEAR(Table810[[#This Row],[RISE Storage End Date]])=2025,TRUE,FALSE),FALSE)</f>
        <v>1</v>
      </c>
      <c r="Z111" s="11" t="b">
        <v>0</v>
      </c>
      <c r="AA111" s="13">
        <v>92</v>
      </c>
      <c r="AB111" s="13" t="s">
        <v>76</v>
      </c>
      <c r="AC111" s="13" t="s">
        <v>632</v>
      </c>
      <c r="AD111" s="13" t="s">
        <v>630</v>
      </c>
      <c r="AE111" s="13" t="s">
        <v>78</v>
      </c>
      <c r="AF111" s="13" t="s">
        <v>633</v>
      </c>
      <c r="AG111" s="13" t="s">
        <v>91</v>
      </c>
      <c r="AH111" s="13" t="s">
        <v>102</v>
      </c>
      <c r="AI111" s="13" t="s">
        <v>93</v>
      </c>
      <c r="AJ111" s="13">
        <v>153445</v>
      </c>
      <c r="AK111" s="18"/>
      <c r="AL111" s="18"/>
      <c r="AM111" s="13" t="s">
        <v>634</v>
      </c>
      <c r="AN111" s="13" t="s">
        <v>63</v>
      </c>
      <c r="AO111" s="13" t="s">
        <v>630</v>
      </c>
      <c r="AP111" s="13" t="s">
        <v>630</v>
      </c>
      <c r="AQ111" s="21" t="s">
        <v>64</v>
      </c>
      <c r="AR111" s="26">
        <v>18264</v>
      </c>
      <c r="AS111" s="26">
        <v>46002</v>
      </c>
      <c r="AT111" s="25">
        <v>27744</v>
      </c>
      <c r="AU111" s="25" t="s">
        <v>65</v>
      </c>
      <c r="AV111" s="25" t="s">
        <v>65</v>
      </c>
      <c r="AW111" s="25" t="s">
        <v>65</v>
      </c>
      <c r="AX111" s="24"/>
    </row>
    <row r="112" spans="1:50" ht="16.5" customHeight="1">
      <c r="A112" s="36" t="s">
        <v>635</v>
      </c>
      <c r="B112" s="28" t="s">
        <v>68</v>
      </c>
      <c r="C112" s="28" t="s">
        <v>86</v>
      </c>
      <c r="D112" s="28"/>
      <c r="E112" s="28" t="s">
        <v>70</v>
      </c>
      <c r="F112" s="28">
        <v>315</v>
      </c>
      <c r="G112" s="28">
        <v>3</v>
      </c>
      <c r="H112" s="28" t="str">
        <f>IF(ISNUMBER(Table810[[#This Row],[Total Capacity]]),"USBR Enterprise Asset Registry",IF(Table810[[#This Row],[Total Capacity]]="",""))</f>
        <v>USBR Enterprise Asset Registry</v>
      </c>
      <c r="I112" s="28" t="s">
        <v>57</v>
      </c>
      <c r="J112" s="28" t="s">
        <v>72</v>
      </c>
      <c r="K112" s="28"/>
      <c r="L112" s="50">
        <v>15654</v>
      </c>
      <c r="M112" s="48"/>
      <c r="N112" s="50">
        <v>15654</v>
      </c>
      <c r="O112" s="28"/>
      <c r="P112" s="37"/>
      <c r="Q112" s="28">
        <f>IF(OR(Table810[[#This Row],[Post-Review Decision]]="Include", Table810[[#This Row],[Post-Review Decision]]="Include if possible", Table810[[#This Row],[Post-Review Decision]]="Include (Omit % Avg if needed)",  Table810[[#This Row],[Post-Review Decision]]="Include (Omit % Avg)"),Table810[[#This Row],[EAR Total Capacity]],"")</f>
        <v>15654</v>
      </c>
      <c r="R112" s="28">
        <v>15503</v>
      </c>
      <c r="S112" s="46">
        <v>15503</v>
      </c>
      <c r="T112" s="28" t="s">
        <v>635</v>
      </c>
      <c r="U112" s="28" t="s">
        <v>636</v>
      </c>
      <c r="V112" s="13" t="s">
        <v>637</v>
      </c>
      <c r="W112" s="12" t="b">
        <f>ISNUMBER(Table810[[#This Row],[EAR Total Capacity]])</f>
        <v>1</v>
      </c>
      <c r="X112" s="12" t="b">
        <f>IF(Table810[[#This Row],[Has  Storage for Full Averaging Period?]]="OK",TRUE,FALSE)</f>
        <v>1</v>
      </c>
      <c r="Y112" s="12" t="b">
        <f>IFERROR(IF(YEAR(Table810[[#This Row],[RISE Storage End Date]])=2025,TRUE,FALSE),FALSE)</f>
        <v>1</v>
      </c>
      <c r="Z112" s="11" t="b">
        <v>0</v>
      </c>
      <c r="AA112" s="13">
        <v>93</v>
      </c>
      <c r="AB112" s="13" t="s">
        <v>76</v>
      </c>
      <c r="AC112" s="13" t="s">
        <v>638</v>
      </c>
      <c r="AD112" s="13" t="s">
        <v>635</v>
      </c>
      <c r="AE112" s="13" t="s">
        <v>78</v>
      </c>
      <c r="AF112" s="13" t="s">
        <v>639</v>
      </c>
      <c r="AG112" s="13" t="s">
        <v>109</v>
      </c>
      <c r="AH112" s="13" t="s">
        <v>92</v>
      </c>
      <c r="AI112" s="13" t="s">
        <v>93</v>
      </c>
      <c r="AJ112" s="14">
        <v>15654</v>
      </c>
      <c r="AK112" s="18"/>
      <c r="AL112" s="18"/>
      <c r="AM112" s="13" t="s">
        <v>640</v>
      </c>
      <c r="AN112" s="13" t="s">
        <v>95</v>
      </c>
      <c r="AO112" s="13" t="s">
        <v>635</v>
      </c>
      <c r="AP112" s="13" t="s">
        <v>635</v>
      </c>
      <c r="AQ112" s="21" t="s">
        <v>64</v>
      </c>
      <c r="AR112" s="26">
        <v>19268</v>
      </c>
      <c r="AS112" s="26">
        <v>46007</v>
      </c>
      <c r="AT112" s="25">
        <v>26741</v>
      </c>
      <c r="AU112" s="25" t="s">
        <v>65</v>
      </c>
      <c r="AV112" s="25" t="s">
        <v>65</v>
      </c>
      <c r="AW112" s="25" t="s">
        <v>65</v>
      </c>
      <c r="AX112" s="24"/>
    </row>
    <row r="113" spans="1:50" ht="16.5" customHeight="1">
      <c r="A113" s="36" t="s">
        <v>641</v>
      </c>
      <c r="B113" s="28"/>
      <c r="C113" s="28" t="s">
        <v>97</v>
      </c>
      <c r="D113" s="28"/>
      <c r="E113" s="28"/>
      <c r="F113" s="28" t="s">
        <v>61</v>
      </c>
      <c r="G113" s="28"/>
      <c r="H113" s="28" t="str">
        <f>IF(ISNUMBER(Table810[[#This Row],[Total Capacity]]),"USBR Enterprise Asset Registry",IF(Table810[[#This Row],[Total Capacity]]="",""))</f>
        <v/>
      </c>
      <c r="I113" s="28"/>
      <c r="J113" s="28"/>
      <c r="K113" s="28"/>
      <c r="L113" s="50" t="s">
        <v>98</v>
      </c>
      <c r="M113" s="48"/>
      <c r="N113" s="50" t="s">
        <v>98</v>
      </c>
      <c r="O113" s="28"/>
      <c r="P113" s="37"/>
      <c r="Q113" s="28" t="str">
        <f>IF(OR(Table810[[#This Row],[Post-Review Decision]]="Include", Table810[[#This Row],[Post-Review Decision]]="Include if possible", Table810[[#This Row],[Post-Review Decision]]="Include (Omit % Avg if needed)",  Table810[[#This Row],[Post-Review Decision]]="Include (Omit % Avg)"),Table810[[#This Row],[EAR Total Capacity]],"")</f>
        <v/>
      </c>
      <c r="R113" s="28"/>
      <c r="S113" s="45">
        <v>0</v>
      </c>
      <c r="T113" s="28"/>
      <c r="U113" s="28"/>
      <c r="V113" s="13" t="s">
        <v>438</v>
      </c>
      <c r="W113" s="12" t="b">
        <f>ISNUMBER(Table810[[#This Row],[EAR Total Capacity]])</f>
        <v>0</v>
      </c>
      <c r="X113" s="12" t="b">
        <f>IF(Table810[[#This Row],[Has  Storage for Full Averaging Period?]]="OK",TRUE,FALSE)</f>
        <v>0</v>
      </c>
      <c r="Y113" s="12" t="b">
        <f>IFERROR(IF(YEAR(Table810[[#This Row],[RISE Storage End Date]])=2025,TRUE,FALSE),FALSE)</f>
        <v>0</v>
      </c>
      <c r="Z113" s="11" t="b">
        <v>0</v>
      </c>
      <c r="AA113" s="13">
        <v>94</v>
      </c>
      <c r="AB113" s="13" t="s">
        <v>76</v>
      </c>
      <c r="AC113" s="13" t="s">
        <v>642</v>
      </c>
      <c r="AD113" s="13" t="s">
        <v>641</v>
      </c>
      <c r="AE113" s="13" t="s">
        <v>78</v>
      </c>
      <c r="AF113" s="13" t="s">
        <v>643</v>
      </c>
      <c r="AG113" s="13" t="s">
        <v>159</v>
      </c>
      <c r="AH113" s="13" t="s">
        <v>160</v>
      </c>
      <c r="AI113" s="13" t="s">
        <v>103</v>
      </c>
      <c r="AJ113" s="14"/>
      <c r="AK113" s="15"/>
      <c r="AL113" s="15"/>
      <c r="AM113" s="15" t="s">
        <v>61</v>
      </c>
      <c r="AN113" s="15" t="s">
        <v>61</v>
      </c>
      <c r="AO113" s="15" t="s">
        <v>61</v>
      </c>
      <c r="AP113" s="15" t="s">
        <v>61</v>
      </c>
      <c r="AQ113" s="21" t="s">
        <v>136</v>
      </c>
      <c r="AR113" s="25"/>
      <c r="AS113" s="25"/>
      <c r="AT113" s="25"/>
      <c r="AU113" s="25"/>
      <c r="AV113" s="25"/>
      <c r="AW113" s="25"/>
      <c r="AX113" s="24"/>
    </row>
    <row r="114" spans="1:50" ht="16.5" customHeight="1">
      <c r="A114" s="36" t="s">
        <v>644</v>
      </c>
      <c r="B114" s="28"/>
      <c r="C114" s="28" t="s">
        <v>97</v>
      </c>
      <c r="D114" s="28"/>
      <c r="E114" s="28"/>
      <c r="F114" s="28" t="s">
        <v>61</v>
      </c>
      <c r="G114" s="28"/>
      <c r="H114" s="28" t="str">
        <f>IF(ISNUMBER(Table810[[#This Row],[Total Capacity]]),"USBR Enterprise Asset Registry",IF(Table810[[#This Row],[Total Capacity]]="",""))</f>
        <v/>
      </c>
      <c r="I114" s="28"/>
      <c r="J114" s="28"/>
      <c r="K114" s="28"/>
      <c r="L114" s="50" t="s">
        <v>98</v>
      </c>
      <c r="M114" s="48"/>
      <c r="N114" s="50" t="s">
        <v>98</v>
      </c>
      <c r="O114" s="28"/>
      <c r="P114" s="37"/>
      <c r="Q114" s="28" t="str">
        <f>IF(OR(Table810[[#This Row],[Post-Review Decision]]="Include", Table810[[#This Row],[Post-Review Decision]]="Include if possible", Table810[[#This Row],[Post-Review Decision]]="Include (Omit % Avg if needed)",  Table810[[#This Row],[Post-Review Decision]]="Include (Omit % Avg)"),Table810[[#This Row],[EAR Total Capacity]],"")</f>
        <v/>
      </c>
      <c r="R114" s="28"/>
      <c r="S114" s="45">
        <v>0</v>
      </c>
      <c r="T114" s="28"/>
      <c r="U114" s="28"/>
      <c r="V114" s="13" t="s">
        <v>264</v>
      </c>
      <c r="W114" s="12" t="b">
        <f>ISNUMBER(Table810[[#This Row],[EAR Total Capacity]])</f>
        <v>0</v>
      </c>
      <c r="X114" s="12" t="b">
        <f>IF(Table810[[#This Row],[Has  Storage for Full Averaging Period?]]="OK",TRUE,FALSE)</f>
        <v>0</v>
      </c>
      <c r="Y114" s="12" t="b">
        <f>IFERROR(IF(YEAR(Table810[[#This Row],[RISE Storage End Date]])=2025,TRUE,FALSE),FALSE)</f>
        <v>0</v>
      </c>
      <c r="Z114" s="11" t="b">
        <v>0</v>
      </c>
      <c r="AA114" s="13">
        <v>95</v>
      </c>
      <c r="AB114" s="13" t="s">
        <v>76</v>
      </c>
      <c r="AC114" s="13" t="s">
        <v>645</v>
      </c>
      <c r="AD114" s="13" t="s">
        <v>644</v>
      </c>
      <c r="AE114" s="13" t="s">
        <v>101</v>
      </c>
      <c r="AF114" s="13" t="s">
        <v>646</v>
      </c>
      <c r="AG114" s="13" t="s">
        <v>91</v>
      </c>
      <c r="AH114" s="13" t="s">
        <v>92</v>
      </c>
      <c r="AI114" s="13" t="s">
        <v>103</v>
      </c>
      <c r="AJ114" s="14"/>
      <c r="AK114" s="15"/>
      <c r="AL114" s="15"/>
      <c r="AM114" s="15" t="s">
        <v>61</v>
      </c>
      <c r="AN114" s="15" t="s">
        <v>61</v>
      </c>
      <c r="AO114" s="15" t="s">
        <v>61</v>
      </c>
      <c r="AP114" s="15" t="s">
        <v>61</v>
      </c>
      <c r="AQ114" s="22"/>
      <c r="AR114" s="25"/>
      <c r="AS114" s="25"/>
      <c r="AT114" s="25"/>
      <c r="AU114" s="25"/>
      <c r="AV114" s="25"/>
      <c r="AW114" s="25"/>
      <c r="AX114" s="24"/>
    </row>
    <row r="115" spans="1:50" ht="16.5" customHeight="1">
      <c r="A115" s="36" t="s">
        <v>647</v>
      </c>
      <c r="B115" s="28"/>
      <c r="C115" s="28" t="s">
        <v>97</v>
      </c>
      <c r="D115" s="28"/>
      <c r="E115" s="28"/>
      <c r="F115" s="28">
        <v>483</v>
      </c>
      <c r="G115" s="28"/>
      <c r="H115" s="28" t="str">
        <f>IF(ISNUMBER(Table810[[#This Row],[Total Capacity]]),"USBR Enterprise Asset Registry",IF(Table810[[#This Row],[Total Capacity]]="",""))</f>
        <v/>
      </c>
      <c r="I115" s="28"/>
      <c r="J115" s="28"/>
      <c r="K115" s="28"/>
      <c r="L115" s="50" t="s">
        <v>98</v>
      </c>
      <c r="M115" s="48"/>
      <c r="N115" s="50" t="s">
        <v>98</v>
      </c>
      <c r="O115" s="28"/>
      <c r="P115" s="37"/>
      <c r="Q115" s="28" t="str">
        <f>IF(OR(Table810[[#This Row],[Post-Review Decision]]="Include", Table810[[#This Row],[Post-Review Decision]]="Include if possible", Table810[[#This Row],[Post-Review Decision]]="Include (Omit % Avg if needed)",  Table810[[#This Row],[Post-Review Decision]]="Include (Omit % Avg)"),Table810[[#This Row],[EAR Total Capacity]],"")</f>
        <v/>
      </c>
      <c r="R115" s="28">
        <v>468</v>
      </c>
      <c r="S115" s="45">
        <v>0</v>
      </c>
      <c r="T115" s="28"/>
      <c r="U115" s="28"/>
      <c r="V115" s="13" t="s">
        <v>648</v>
      </c>
      <c r="W115" s="12" t="b">
        <f>ISNUMBER(Table810[[#This Row],[EAR Total Capacity]])</f>
        <v>0</v>
      </c>
      <c r="X115" s="12" t="b">
        <f>IF(Table810[[#This Row],[Has  Storage for Full Averaging Period?]]="OK",TRUE,FALSE)</f>
        <v>0</v>
      </c>
      <c r="Y115" s="12" t="b">
        <f>IFERROR(IF(YEAR(Table810[[#This Row],[RISE Storage End Date]])=2025,TRUE,FALSE),FALSE)</f>
        <v>0</v>
      </c>
      <c r="Z115" s="11" t="b">
        <v>0</v>
      </c>
      <c r="AA115" s="13">
        <v>97</v>
      </c>
      <c r="AB115" s="13" t="s">
        <v>76</v>
      </c>
      <c r="AC115" s="13" t="s">
        <v>649</v>
      </c>
      <c r="AD115" s="13" t="s">
        <v>647</v>
      </c>
      <c r="AE115" s="13" t="s">
        <v>78</v>
      </c>
      <c r="AF115" s="13" t="s">
        <v>650</v>
      </c>
      <c r="AG115" s="13" t="s">
        <v>109</v>
      </c>
      <c r="AH115" s="13" t="s">
        <v>92</v>
      </c>
      <c r="AI115" s="13" t="s">
        <v>103</v>
      </c>
      <c r="AJ115" s="14"/>
      <c r="AK115" s="18"/>
      <c r="AL115" s="18"/>
      <c r="AM115" s="13" t="s">
        <v>650</v>
      </c>
      <c r="AN115" s="13" t="s">
        <v>95</v>
      </c>
      <c r="AO115" s="11" t="s">
        <v>649</v>
      </c>
      <c r="AP115" s="11" t="s">
        <v>651</v>
      </c>
      <c r="AQ115" s="21" t="s">
        <v>136</v>
      </c>
      <c r="AR115" s="25"/>
      <c r="AS115" s="25"/>
      <c r="AT115" s="25"/>
      <c r="AU115" s="25"/>
      <c r="AV115" s="25"/>
      <c r="AW115" s="25"/>
      <c r="AX115" s="24"/>
    </row>
    <row r="116" spans="1:50" ht="16.5" customHeight="1">
      <c r="A116" s="36" t="s">
        <v>652</v>
      </c>
      <c r="B116" s="28"/>
      <c r="C116" s="28" t="s">
        <v>97</v>
      </c>
      <c r="D116" s="28"/>
      <c r="E116" s="28"/>
      <c r="F116" s="28" t="s">
        <v>61</v>
      </c>
      <c r="G116" s="28"/>
      <c r="H116" s="28" t="str">
        <f>IF(ISNUMBER(Table810[[#This Row],[Total Capacity]]),"USBR Enterprise Asset Registry",IF(Table810[[#This Row],[Total Capacity]]="",""))</f>
        <v/>
      </c>
      <c r="I116" s="28"/>
      <c r="J116" s="28"/>
      <c r="K116" s="28"/>
      <c r="L116" s="50" t="s">
        <v>98</v>
      </c>
      <c r="M116" s="48"/>
      <c r="N116" s="50" t="s">
        <v>98</v>
      </c>
      <c r="O116" s="28"/>
      <c r="P116" s="37"/>
      <c r="Q116" s="28" t="str">
        <f>IF(OR(Table810[[#This Row],[Post-Review Decision]]="Include", Table810[[#This Row],[Post-Review Decision]]="Include if possible", Table810[[#This Row],[Post-Review Decision]]="Include (Omit % Avg if needed)",  Table810[[#This Row],[Post-Review Decision]]="Include (Omit % Avg)"),Table810[[#This Row],[EAR Total Capacity]],"")</f>
        <v/>
      </c>
      <c r="R116" s="28"/>
      <c r="S116" s="45">
        <v>0</v>
      </c>
      <c r="T116" s="28"/>
      <c r="U116" s="28"/>
      <c r="V116" s="13" t="s">
        <v>653</v>
      </c>
      <c r="W116" s="12" t="b">
        <f>ISNUMBER(Table810[[#This Row],[EAR Total Capacity]])</f>
        <v>0</v>
      </c>
      <c r="X116" s="12" t="b">
        <f>IF(Table810[[#This Row],[Has  Storage for Full Averaging Period?]]="OK",TRUE,FALSE)</f>
        <v>0</v>
      </c>
      <c r="Y116" s="12" t="b">
        <f>IFERROR(IF(YEAR(Table810[[#This Row],[RISE Storage End Date]])=2025,TRUE,FALSE),FALSE)</f>
        <v>0</v>
      </c>
      <c r="Z116" s="11" t="b">
        <v>0</v>
      </c>
      <c r="AA116" s="13">
        <v>96</v>
      </c>
      <c r="AB116" s="13" t="s">
        <v>76</v>
      </c>
      <c r="AC116" s="13" t="s">
        <v>654</v>
      </c>
      <c r="AD116" s="13" t="s">
        <v>652</v>
      </c>
      <c r="AE116" s="13" t="s">
        <v>101</v>
      </c>
      <c r="AF116" s="13" t="s">
        <v>652</v>
      </c>
      <c r="AG116" s="13" t="s">
        <v>80</v>
      </c>
      <c r="AH116" s="13" t="s">
        <v>81</v>
      </c>
      <c r="AI116" s="13" t="s">
        <v>103</v>
      </c>
      <c r="AJ116" s="14"/>
      <c r="AK116" s="15"/>
      <c r="AL116" s="15"/>
      <c r="AM116" s="15" t="s">
        <v>61</v>
      </c>
      <c r="AN116" s="15" t="s">
        <v>61</v>
      </c>
      <c r="AO116" s="15" t="s">
        <v>61</v>
      </c>
      <c r="AP116" s="15" t="s">
        <v>61</v>
      </c>
      <c r="AQ116" s="22"/>
      <c r="AR116" s="25"/>
      <c r="AS116" s="25"/>
      <c r="AT116" s="25"/>
      <c r="AU116" s="25"/>
      <c r="AV116" s="25"/>
      <c r="AW116" s="25"/>
      <c r="AX116" s="24"/>
    </row>
    <row r="117" spans="1:50" ht="16.5" customHeight="1">
      <c r="A117" s="36" t="s">
        <v>655</v>
      </c>
      <c r="B117" s="28"/>
      <c r="C117" s="28" t="s">
        <v>97</v>
      </c>
      <c r="D117" s="28"/>
      <c r="E117" s="28"/>
      <c r="F117" s="28" t="s">
        <v>61</v>
      </c>
      <c r="G117" s="28"/>
      <c r="H117" s="28" t="str">
        <f>IF(ISNUMBER(Table810[[#This Row],[Total Capacity]]),"USBR Enterprise Asset Registry",IF(Table810[[#This Row],[Total Capacity]]="",""))</f>
        <v/>
      </c>
      <c r="I117" s="28"/>
      <c r="J117" s="28"/>
      <c r="K117" s="28"/>
      <c r="L117" s="50" t="s">
        <v>98</v>
      </c>
      <c r="M117" s="48"/>
      <c r="N117" s="50" t="s">
        <v>98</v>
      </c>
      <c r="O117" s="28"/>
      <c r="P117" s="37"/>
      <c r="Q117" s="28" t="str">
        <f>IF(OR(Table810[[#This Row],[Post-Review Decision]]="Include", Table810[[#This Row],[Post-Review Decision]]="Include if possible", Table810[[#This Row],[Post-Review Decision]]="Include (Omit % Avg if needed)",  Table810[[#This Row],[Post-Review Decision]]="Include (Omit % Avg)"),Table810[[#This Row],[EAR Total Capacity]],"")</f>
        <v/>
      </c>
      <c r="R117" s="28"/>
      <c r="S117" s="45">
        <v>0</v>
      </c>
      <c r="T117" s="28"/>
      <c r="U117" s="28"/>
      <c r="V117" s="13" t="s">
        <v>656</v>
      </c>
      <c r="W117" s="12" t="b">
        <f>ISNUMBER(Table810[[#This Row],[EAR Total Capacity]])</f>
        <v>0</v>
      </c>
      <c r="X117" s="12" t="b">
        <f>IF(Table810[[#This Row],[Has  Storage for Full Averaging Period?]]="OK",TRUE,FALSE)</f>
        <v>0</v>
      </c>
      <c r="Y117" s="12" t="b">
        <f>IFERROR(IF(YEAR(Table810[[#This Row],[RISE Storage End Date]])=2025,TRUE,FALSE),FALSE)</f>
        <v>0</v>
      </c>
      <c r="Z117" s="11" t="b">
        <v>0</v>
      </c>
      <c r="AA117" s="13">
        <v>98</v>
      </c>
      <c r="AB117" s="13" t="s">
        <v>76</v>
      </c>
      <c r="AC117" s="13" t="s">
        <v>657</v>
      </c>
      <c r="AD117" s="13" t="s">
        <v>655</v>
      </c>
      <c r="AE117" s="13" t="s">
        <v>78</v>
      </c>
      <c r="AF117" s="13" t="s">
        <v>658</v>
      </c>
      <c r="AG117" s="13" t="s">
        <v>109</v>
      </c>
      <c r="AH117" s="13" t="s">
        <v>92</v>
      </c>
      <c r="AI117" s="13" t="s">
        <v>103</v>
      </c>
      <c r="AJ117" s="13"/>
      <c r="AK117" s="15"/>
      <c r="AL117" s="15"/>
      <c r="AM117" s="15" t="s">
        <v>61</v>
      </c>
      <c r="AN117" s="15" t="s">
        <v>61</v>
      </c>
      <c r="AO117" s="15" t="s">
        <v>61</v>
      </c>
      <c r="AP117" s="15" t="s">
        <v>61</v>
      </c>
      <c r="AQ117" s="21" t="s">
        <v>136</v>
      </c>
      <c r="AR117" s="25"/>
      <c r="AS117" s="25"/>
      <c r="AT117" s="25"/>
      <c r="AU117" s="25"/>
      <c r="AV117" s="25"/>
      <c r="AW117" s="25"/>
      <c r="AX117" s="24"/>
    </row>
    <row r="118" spans="1:50" ht="16.5" customHeight="1">
      <c r="A118" s="36" t="s">
        <v>659</v>
      </c>
      <c r="B118" s="28"/>
      <c r="C118" s="28" t="s">
        <v>97</v>
      </c>
      <c r="D118" s="28"/>
      <c r="E118" s="28"/>
      <c r="F118" s="28" t="s">
        <v>61</v>
      </c>
      <c r="G118" s="28"/>
      <c r="H118" s="28" t="str">
        <f>IF(ISNUMBER(Table810[[#This Row],[Total Capacity]]),"USBR Enterprise Asset Registry",IF(Table810[[#This Row],[Total Capacity]]="",""))</f>
        <v/>
      </c>
      <c r="I118" s="28"/>
      <c r="J118" s="28"/>
      <c r="K118" s="28"/>
      <c r="L118" s="50" t="s">
        <v>98</v>
      </c>
      <c r="M118" s="48"/>
      <c r="N118" s="50" t="s">
        <v>98</v>
      </c>
      <c r="O118" s="28"/>
      <c r="P118" s="37"/>
      <c r="Q118" s="28" t="str">
        <f>IF(OR(Table810[[#This Row],[Post-Review Decision]]="Include", Table810[[#This Row],[Post-Review Decision]]="Include if possible", Table810[[#This Row],[Post-Review Decision]]="Include (Omit % Avg if needed)",  Table810[[#This Row],[Post-Review Decision]]="Include (Omit % Avg)"),Table810[[#This Row],[EAR Total Capacity]],"")</f>
        <v/>
      </c>
      <c r="R118" s="28"/>
      <c r="S118" s="45">
        <v>0</v>
      </c>
      <c r="T118" s="28"/>
      <c r="U118" s="28"/>
      <c r="V118" s="13" t="s">
        <v>99</v>
      </c>
      <c r="W118" s="12" t="b">
        <f>ISNUMBER(Table810[[#This Row],[EAR Total Capacity]])</f>
        <v>0</v>
      </c>
      <c r="X118" s="12" t="b">
        <f>IF(Table810[[#This Row],[Has  Storage for Full Averaging Period?]]="OK",TRUE,FALSE)</f>
        <v>0</v>
      </c>
      <c r="Y118" s="12" t="b">
        <f>IFERROR(IF(YEAR(Table810[[#This Row],[RISE Storage End Date]])=2025,TRUE,FALSE),FALSE)</f>
        <v>0</v>
      </c>
      <c r="Z118" s="11" t="b">
        <v>0</v>
      </c>
      <c r="AA118" s="13">
        <v>99</v>
      </c>
      <c r="AB118" s="13" t="s">
        <v>76</v>
      </c>
      <c r="AC118" s="13" t="s">
        <v>660</v>
      </c>
      <c r="AD118" s="13" t="s">
        <v>659</v>
      </c>
      <c r="AE118" s="13" t="s">
        <v>101</v>
      </c>
      <c r="AF118" s="13" t="s">
        <v>659</v>
      </c>
      <c r="AG118" s="13" t="s">
        <v>91</v>
      </c>
      <c r="AH118" s="13" t="s">
        <v>102</v>
      </c>
      <c r="AI118" s="13" t="s">
        <v>103</v>
      </c>
      <c r="AJ118" s="14"/>
      <c r="AK118" s="15"/>
      <c r="AL118" s="15"/>
      <c r="AM118" s="15" t="s">
        <v>61</v>
      </c>
      <c r="AN118" s="15" t="s">
        <v>61</v>
      </c>
      <c r="AO118" s="15" t="s">
        <v>61</v>
      </c>
      <c r="AP118" s="15" t="s">
        <v>61</v>
      </c>
      <c r="AQ118" s="22"/>
      <c r="AR118" s="25"/>
      <c r="AS118" s="25"/>
      <c r="AT118" s="25"/>
      <c r="AU118" s="25"/>
      <c r="AV118" s="25"/>
      <c r="AW118" s="25"/>
      <c r="AX118" s="24"/>
    </row>
    <row r="119" spans="1:50" ht="16.5" customHeight="1">
      <c r="A119" s="36" t="s">
        <v>661</v>
      </c>
      <c r="B119" s="28"/>
      <c r="C119" s="28" t="s">
        <v>97</v>
      </c>
      <c r="D119" s="28"/>
      <c r="E119" s="28"/>
      <c r="F119" s="28" t="s">
        <v>61</v>
      </c>
      <c r="G119" s="28"/>
      <c r="H119" s="28" t="str">
        <f>IF(ISNUMBER(Table810[[#This Row],[Total Capacity]]),"USBR Enterprise Asset Registry",IF(Table810[[#This Row],[Total Capacity]]="",""))</f>
        <v/>
      </c>
      <c r="I119" s="28"/>
      <c r="J119" s="28"/>
      <c r="K119" s="28"/>
      <c r="L119" s="50" t="s">
        <v>98</v>
      </c>
      <c r="M119" s="48"/>
      <c r="N119" s="50" t="s">
        <v>98</v>
      </c>
      <c r="O119" s="28"/>
      <c r="P119" s="37"/>
      <c r="Q119" s="28" t="str">
        <f>IF(OR(Table810[[#This Row],[Post-Review Decision]]="Include", Table810[[#This Row],[Post-Review Decision]]="Include if possible", Table810[[#This Row],[Post-Review Decision]]="Include (Omit % Avg if needed)",  Table810[[#This Row],[Post-Review Decision]]="Include (Omit % Avg)"),Table810[[#This Row],[EAR Total Capacity]],"")</f>
        <v/>
      </c>
      <c r="R119" s="28"/>
      <c r="S119" s="45">
        <v>0</v>
      </c>
      <c r="T119" s="28"/>
      <c r="U119" s="28"/>
      <c r="V119" s="13" t="s">
        <v>107</v>
      </c>
      <c r="W119" s="12" t="b">
        <f>ISNUMBER(Table810[[#This Row],[EAR Total Capacity]])</f>
        <v>0</v>
      </c>
      <c r="X119" s="12" t="b">
        <f>IF(Table810[[#This Row],[Has  Storage for Full Averaging Period?]]="OK",TRUE,FALSE)</f>
        <v>0</v>
      </c>
      <c r="Y119" s="12" t="b">
        <f>IFERROR(IF(YEAR(Table810[[#This Row],[RISE Storage End Date]])=2025,TRUE,FALSE),FALSE)</f>
        <v>0</v>
      </c>
      <c r="Z119" s="11" t="b">
        <v>0</v>
      </c>
      <c r="AA119" s="13">
        <v>100</v>
      </c>
      <c r="AB119" s="13" t="s">
        <v>76</v>
      </c>
      <c r="AC119" s="13" t="s">
        <v>662</v>
      </c>
      <c r="AD119" s="13" t="s">
        <v>661</v>
      </c>
      <c r="AE119" s="13" t="s">
        <v>101</v>
      </c>
      <c r="AF119" s="13" t="s">
        <v>663</v>
      </c>
      <c r="AG119" s="13" t="s">
        <v>109</v>
      </c>
      <c r="AH119" s="13" t="s">
        <v>92</v>
      </c>
      <c r="AI119" s="13" t="s">
        <v>103</v>
      </c>
      <c r="AJ119" s="13"/>
      <c r="AK119" s="15"/>
      <c r="AL119" s="15"/>
      <c r="AM119" s="15" t="s">
        <v>61</v>
      </c>
      <c r="AN119" s="15" t="s">
        <v>61</v>
      </c>
      <c r="AO119" s="15" t="s">
        <v>61</v>
      </c>
      <c r="AP119" s="15" t="s">
        <v>61</v>
      </c>
      <c r="AQ119" s="22"/>
      <c r="AR119" s="25"/>
      <c r="AS119" s="25"/>
      <c r="AT119" s="25"/>
      <c r="AU119" s="25"/>
      <c r="AV119" s="25"/>
      <c r="AW119" s="25"/>
      <c r="AX119" s="24"/>
    </row>
    <row r="120" spans="1:50" ht="16.5" customHeight="1">
      <c r="A120" s="36" t="s">
        <v>664</v>
      </c>
      <c r="B120" s="28"/>
      <c r="C120" s="28" t="s">
        <v>97</v>
      </c>
      <c r="D120" s="28"/>
      <c r="E120" s="28"/>
      <c r="F120" s="28" t="s">
        <v>61</v>
      </c>
      <c r="G120" s="28"/>
      <c r="H120" s="28" t="str">
        <f>IF(ISNUMBER(Table810[[#This Row],[Total Capacity]]),"USBR Enterprise Asset Registry",IF(Table810[[#This Row],[Total Capacity]]="",""))</f>
        <v/>
      </c>
      <c r="I120" s="28"/>
      <c r="J120" s="28"/>
      <c r="K120" s="28"/>
      <c r="L120" s="50" t="s">
        <v>98</v>
      </c>
      <c r="M120" s="48"/>
      <c r="N120" s="50" t="s">
        <v>98</v>
      </c>
      <c r="O120" s="28"/>
      <c r="P120" s="37"/>
      <c r="Q120" s="28" t="str">
        <f>IF(OR(Table810[[#This Row],[Post-Review Decision]]="Include", Table810[[#This Row],[Post-Review Decision]]="Include if possible", Table810[[#This Row],[Post-Review Decision]]="Include (Omit % Avg if needed)",  Table810[[#This Row],[Post-Review Decision]]="Include (Omit % Avg)"),Table810[[#This Row],[EAR Total Capacity]],"")</f>
        <v/>
      </c>
      <c r="R120" s="28"/>
      <c r="S120" s="45">
        <v>0</v>
      </c>
      <c r="T120" s="28"/>
      <c r="U120" s="28"/>
      <c r="V120" s="13" t="s">
        <v>224</v>
      </c>
      <c r="W120" s="12" t="b">
        <f>ISNUMBER(Table810[[#This Row],[EAR Total Capacity]])</f>
        <v>0</v>
      </c>
      <c r="X120" s="12" t="b">
        <f>IF(Table810[[#This Row],[Has  Storage for Full Averaging Period?]]="OK",TRUE,FALSE)</f>
        <v>0</v>
      </c>
      <c r="Y120" s="12" t="b">
        <f>IFERROR(IF(YEAR(Table810[[#This Row],[RISE Storage End Date]])=2025,TRUE,FALSE),FALSE)</f>
        <v>0</v>
      </c>
      <c r="Z120" s="11" t="b">
        <v>0</v>
      </c>
      <c r="AA120" s="13">
        <v>101</v>
      </c>
      <c r="AB120" s="13" t="s">
        <v>76</v>
      </c>
      <c r="AC120" s="13" t="s">
        <v>665</v>
      </c>
      <c r="AD120" s="13" t="s">
        <v>664</v>
      </c>
      <c r="AE120" s="13" t="s">
        <v>101</v>
      </c>
      <c r="AF120" s="13" t="s">
        <v>666</v>
      </c>
      <c r="AG120" s="13" t="s">
        <v>91</v>
      </c>
      <c r="AH120" s="13" t="s">
        <v>102</v>
      </c>
      <c r="AI120" s="13" t="s">
        <v>103</v>
      </c>
      <c r="AJ120" s="13"/>
      <c r="AK120" s="15"/>
      <c r="AL120" s="15"/>
      <c r="AM120" s="15" t="s">
        <v>61</v>
      </c>
      <c r="AN120" s="15" t="s">
        <v>61</v>
      </c>
      <c r="AO120" s="15" t="s">
        <v>61</v>
      </c>
      <c r="AP120" s="15" t="s">
        <v>61</v>
      </c>
      <c r="AQ120" s="22"/>
      <c r="AR120" s="25"/>
      <c r="AS120" s="25"/>
      <c r="AT120" s="25"/>
      <c r="AU120" s="25"/>
      <c r="AV120" s="25"/>
      <c r="AW120" s="25"/>
      <c r="AX120" s="24"/>
    </row>
    <row r="121" spans="1:50" ht="16.5" customHeight="1">
      <c r="A121" s="36" t="s">
        <v>667</v>
      </c>
      <c r="B121" s="28"/>
      <c r="C121" s="28" t="s">
        <v>97</v>
      </c>
      <c r="D121" s="28"/>
      <c r="E121" s="28"/>
      <c r="F121" s="28" t="s">
        <v>61</v>
      </c>
      <c r="G121" s="28"/>
      <c r="H121" s="28" t="str">
        <f>IF(ISNUMBER(Table810[[#This Row],[Total Capacity]]),"USBR Enterprise Asset Registry",IF(Table810[[#This Row],[Total Capacity]]="",""))</f>
        <v/>
      </c>
      <c r="I121" s="28"/>
      <c r="J121" s="28"/>
      <c r="K121" s="28"/>
      <c r="L121" s="50" t="s">
        <v>98</v>
      </c>
      <c r="M121" s="48"/>
      <c r="N121" s="50" t="s">
        <v>98</v>
      </c>
      <c r="O121" s="28"/>
      <c r="P121" s="37" t="s">
        <v>668</v>
      </c>
      <c r="Q121" s="28" t="str">
        <f>IF(OR(Table810[[#This Row],[Post-Review Decision]]="Include", Table810[[#This Row],[Post-Review Decision]]="Include if possible", Table810[[#This Row],[Post-Review Decision]]="Include (Omit % Avg if needed)",  Table810[[#This Row],[Post-Review Decision]]="Include (Omit % Avg)"),Table810[[#This Row],[EAR Total Capacity]],"")</f>
        <v/>
      </c>
      <c r="R121" s="28"/>
      <c r="S121" s="45">
        <v>0</v>
      </c>
      <c r="T121" s="28"/>
      <c r="U121" s="28"/>
      <c r="V121" s="13" t="s">
        <v>324</v>
      </c>
      <c r="W121" s="12" t="b">
        <f>ISNUMBER(Table810[[#This Row],[EAR Total Capacity]])</f>
        <v>0</v>
      </c>
      <c r="X121" s="12" t="b">
        <f>IF(Table810[[#This Row],[Has  Storage for Full Averaging Period?]]="OK",TRUE,FALSE)</f>
        <v>0</v>
      </c>
      <c r="Y121" s="12" t="b">
        <f>IFERROR(IF(YEAR(Table810[[#This Row],[RISE Storage End Date]])=2025,TRUE,FALSE),FALSE)</f>
        <v>0</v>
      </c>
      <c r="Z121" s="11" t="b">
        <v>0</v>
      </c>
      <c r="AA121" s="13">
        <v>102</v>
      </c>
      <c r="AB121" s="13" t="s">
        <v>76</v>
      </c>
      <c r="AC121" s="13" t="s">
        <v>669</v>
      </c>
      <c r="AD121" s="13" t="s">
        <v>667</v>
      </c>
      <c r="AE121" s="13" t="s">
        <v>101</v>
      </c>
      <c r="AF121" s="13" t="s">
        <v>670</v>
      </c>
      <c r="AG121" s="13" t="s">
        <v>109</v>
      </c>
      <c r="AH121" s="13" t="s">
        <v>92</v>
      </c>
      <c r="AI121" s="13" t="s">
        <v>103</v>
      </c>
      <c r="AJ121" s="13"/>
      <c r="AK121" s="15"/>
      <c r="AL121" s="15"/>
      <c r="AM121" s="15" t="s">
        <v>61</v>
      </c>
      <c r="AN121" s="15" t="s">
        <v>61</v>
      </c>
      <c r="AO121" s="15" t="s">
        <v>61</v>
      </c>
      <c r="AP121" s="15" t="s">
        <v>61</v>
      </c>
      <c r="AQ121" s="22"/>
      <c r="AR121" s="25"/>
      <c r="AS121" s="25"/>
      <c r="AT121" s="25"/>
      <c r="AU121" s="25"/>
      <c r="AV121" s="25"/>
      <c r="AW121" s="25"/>
      <c r="AX121" s="24"/>
    </row>
    <row r="122" spans="1:50" ht="16.5" customHeight="1">
      <c r="A122" s="36" t="s">
        <v>671</v>
      </c>
      <c r="B122" s="28"/>
      <c r="C122" s="28" t="s">
        <v>97</v>
      </c>
      <c r="D122" s="28"/>
      <c r="E122" s="28"/>
      <c r="F122" s="28" t="s">
        <v>61</v>
      </c>
      <c r="G122" s="28"/>
      <c r="H122" s="28" t="str">
        <f>IF(ISNUMBER(Table810[[#This Row],[Total Capacity]]),"USBR Enterprise Asset Registry",IF(Table810[[#This Row],[Total Capacity]]="",""))</f>
        <v/>
      </c>
      <c r="I122" s="28"/>
      <c r="J122" s="28"/>
      <c r="K122" s="28"/>
      <c r="L122" s="50" t="s">
        <v>98</v>
      </c>
      <c r="M122" s="48"/>
      <c r="N122" s="50" t="s">
        <v>98</v>
      </c>
      <c r="O122" s="28"/>
      <c r="P122" s="37"/>
      <c r="Q122" s="28" t="str">
        <f>IF(OR(Table810[[#This Row],[Post-Review Decision]]="Include", Table810[[#This Row],[Post-Review Decision]]="Include if possible", Table810[[#This Row],[Post-Review Decision]]="Include (Omit % Avg if needed)",  Table810[[#This Row],[Post-Review Decision]]="Include (Omit % Avg)"),Table810[[#This Row],[EAR Total Capacity]],"")</f>
        <v/>
      </c>
      <c r="R122" s="28"/>
      <c r="S122" s="45">
        <v>0</v>
      </c>
      <c r="T122" s="28"/>
      <c r="U122" s="28"/>
      <c r="V122" s="13" t="s">
        <v>530</v>
      </c>
      <c r="W122" s="12" t="b">
        <f>ISNUMBER(Table810[[#This Row],[EAR Total Capacity]])</f>
        <v>0</v>
      </c>
      <c r="X122" s="12" t="b">
        <f>IF(Table810[[#This Row],[Has  Storage for Full Averaging Period?]]="OK",TRUE,FALSE)</f>
        <v>0</v>
      </c>
      <c r="Y122" s="12" t="b">
        <f>IFERROR(IF(YEAR(Table810[[#This Row],[RISE Storage End Date]])=2025,TRUE,FALSE),FALSE)</f>
        <v>0</v>
      </c>
      <c r="Z122" s="11" t="b">
        <v>0</v>
      </c>
      <c r="AA122" s="13">
        <v>103</v>
      </c>
      <c r="AB122" s="13" t="s">
        <v>76</v>
      </c>
      <c r="AC122" s="13" t="s">
        <v>672</v>
      </c>
      <c r="AD122" s="13" t="s">
        <v>671</v>
      </c>
      <c r="AE122" s="13" t="s">
        <v>101</v>
      </c>
      <c r="AF122" s="13" t="s">
        <v>673</v>
      </c>
      <c r="AG122" s="13" t="s">
        <v>91</v>
      </c>
      <c r="AH122" s="13" t="s">
        <v>102</v>
      </c>
      <c r="AI122" s="13" t="s">
        <v>103</v>
      </c>
      <c r="AJ122" s="14"/>
      <c r="AK122" s="15"/>
      <c r="AL122" s="15"/>
      <c r="AM122" s="15" t="s">
        <v>61</v>
      </c>
      <c r="AN122" s="15" t="s">
        <v>61</v>
      </c>
      <c r="AO122" s="15" t="s">
        <v>61</v>
      </c>
      <c r="AP122" s="15" t="s">
        <v>61</v>
      </c>
      <c r="AQ122" s="22"/>
      <c r="AR122" s="25"/>
      <c r="AS122" s="25"/>
      <c r="AT122" s="25"/>
      <c r="AU122" s="25"/>
      <c r="AV122" s="25"/>
      <c r="AW122" s="25"/>
      <c r="AX122" s="24"/>
    </row>
    <row r="123" spans="1:50" ht="16.5" customHeight="1">
      <c r="A123" s="36" t="s">
        <v>674</v>
      </c>
      <c r="B123" s="28" t="s">
        <v>68</v>
      </c>
      <c r="C123" s="28" t="s">
        <v>86</v>
      </c>
      <c r="D123" s="28"/>
      <c r="E123" s="28" t="s">
        <v>70</v>
      </c>
      <c r="F123" s="28">
        <v>319</v>
      </c>
      <c r="G123" s="28">
        <v>3</v>
      </c>
      <c r="H123" s="28" t="str">
        <f>IF(ISNUMBER(Table810[[#This Row],[Total Capacity]]),"USBR Enterprise Asset Registry",IF(Table810[[#This Row],[Total Capacity]]="",""))</f>
        <v>USBR Enterprise Asset Registry</v>
      </c>
      <c r="I123" s="28" t="s">
        <v>257</v>
      </c>
      <c r="J123" s="28" t="s">
        <v>72</v>
      </c>
      <c r="K123" s="28"/>
      <c r="L123" s="50">
        <v>49510</v>
      </c>
      <c r="M123" s="48"/>
      <c r="N123" s="50">
        <v>49510</v>
      </c>
      <c r="O123" s="28"/>
      <c r="P123" s="37"/>
      <c r="Q123" s="28">
        <f>IF(OR(Table810[[#This Row],[Post-Review Decision]]="Include", Table810[[#This Row],[Post-Review Decision]]="Include if possible", Table810[[#This Row],[Post-Review Decision]]="Include (Omit % Avg if needed)",  Table810[[#This Row],[Post-Review Decision]]="Include (Omit % Avg)"),Table810[[#This Row],[EAR Total Capacity]],"")</f>
        <v>51200</v>
      </c>
      <c r="R123" s="28">
        <v>48110</v>
      </c>
      <c r="S123" s="46">
        <v>49510</v>
      </c>
      <c r="T123" s="28" t="s">
        <v>674</v>
      </c>
      <c r="U123" s="28" t="s">
        <v>675</v>
      </c>
      <c r="V123" s="13" t="s">
        <v>465</v>
      </c>
      <c r="W123" s="12" t="b">
        <f>ISNUMBER(Table810[[#This Row],[EAR Total Capacity]])</f>
        <v>1</v>
      </c>
      <c r="X123" s="12" t="b">
        <f>IF(Table810[[#This Row],[Has  Storage for Full Averaging Period?]]="OK",TRUE,FALSE)</f>
        <v>1</v>
      </c>
      <c r="Y123" s="12" t="b">
        <f>IFERROR(IF(YEAR(Table810[[#This Row],[RISE Storage End Date]])=2025,TRUE,FALSE),FALSE)</f>
        <v>1</v>
      </c>
      <c r="Z123" s="11" t="b">
        <v>0</v>
      </c>
      <c r="AA123" s="13">
        <v>104</v>
      </c>
      <c r="AB123" s="13" t="s">
        <v>76</v>
      </c>
      <c r="AC123" s="13" t="s">
        <v>676</v>
      </c>
      <c r="AD123" s="13" t="s">
        <v>674</v>
      </c>
      <c r="AE123" s="13" t="s">
        <v>78</v>
      </c>
      <c r="AF123" s="13" t="s">
        <v>677</v>
      </c>
      <c r="AG123" s="13" t="s">
        <v>91</v>
      </c>
      <c r="AH123" s="13" t="s">
        <v>102</v>
      </c>
      <c r="AI123" s="13" t="s">
        <v>93</v>
      </c>
      <c r="AJ123" s="14">
        <v>51200</v>
      </c>
      <c r="AK123" s="18"/>
      <c r="AL123" s="18"/>
      <c r="AM123" s="13" t="s">
        <v>678</v>
      </c>
      <c r="AN123" s="13" t="s">
        <v>63</v>
      </c>
      <c r="AO123" s="13" t="s">
        <v>674</v>
      </c>
      <c r="AP123" s="13" t="s">
        <v>674</v>
      </c>
      <c r="AQ123" s="21" t="s">
        <v>64</v>
      </c>
      <c r="AR123" s="26">
        <v>30432</v>
      </c>
      <c r="AS123" s="26">
        <v>46007</v>
      </c>
      <c r="AT123" s="25">
        <v>15577</v>
      </c>
      <c r="AU123" s="25" t="s">
        <v>65</v>
      </c>
      <c r="AV123" s="25" t="s">
        <v>65</v>
      </c>
      <c r="AW123" s="25" t="s">
        <v>65</v>
      </c>
      <c r="AX123" s="24"/>
    </row>
    <row r="124" spans="1:50" ht="16.5" customHeight="1">
      <c r="A124" s="36" t="s">
        <v>679</v>
      </c>
      <c r="B124" s="28"/>
      <c r="C124" s="28" t="s">
        <v>97</v>
      </c>
      <c r="D124" s="28"/>
      <c r="E124" s="28"/>
      <c r="F124" s="28" t="s">
        <v>61</v>
      </c>
      <c r="G124" s="28"/>
      <c r="H124" s="28" t="str">
        <f>IF(ISNUMBER(Table810[[#This Row],[Total Capacity]]),"USBR Enterprise Asset Registry",IF(Table810[[#This Row],[Total Capacity]]="",""))</f>
        <v/>
      </c>
      <c r="I124" s="28"/>
      <c r="J124" s="28"/>
      <c r="K124" s="28"/>
      <c r="L124" s="50" t="s">
        <v>98</v>
      </c>
      <c r="M124" s="48"/>
      <c r="N124" s="50" t="s">
        <v>98</v>
      </c>
      <c r="O124" s="28"/>
      <c r="P124" s="37"/>
      <c r="Q124" s="28" t="str">
        <f>IF(OR(Table810[[#This Row],[Post-Review Decision]]="Include", Table810[[#This Row],[Post-Review Decision]]="Include if possible", Table810[[#This Row],[Post-Review Decision]]="Include (Omit % Avg if needed)",  Table810[[#This Row],[Post-Review Decision]]="Include (Omit % Avg)"),Table810[[#This Row],[EAR Total Capacity]],"")</f>
        <v/>
      </c>
      <c r="R124" s="28"/>
      <c r="S124" s="45">
        <v>0</v>
      </c>
      <c r="T124" s="28"/>
      <c r="U124" s="28"/>
      <c r="V124" s="13" t="s">
        <v>193</v>
      </c>
      <c r="W124" s="12" t="b">
        <f>ISNUMBER(Table810[[#This Row],[EAR Total Capacity]])</f>
        <v>0</v>
      </c>
      <c r="X124" s="12" t="b">
        <f>IF(Table810[[#This Row],[Has  Storage for Full Averaging Period?]]="OK",TRUE,FALSE)</f>
        <v>0</v>
      </c>
      <c r="Y124" s="12" t="b">
        <f>IFERROR(IF(YEAR(Table810[[#This Row],[RISE Storage End Date]])=2025,TRUE,FALSE),FALSE)</f>
        <v>0</v>
      </c>
      <c r="Z124" s="11" t="b">
        <v>0</v>
      </c>
      <c r="AA124" s="13">
        <v>105</v>
      </c>
      <c r="AB124" s="13" t="s">
        <v>76</v>
      </c>
      <c r="AC124" s="13" t="s">
        <v>680</v>
      </c>
      <c r="AD124" s="13" t="s">
        <v>679</v>
      </c>
      <c r="AE124" s="13" t="s">
        <v>101</v>
      </c>
      <c r="AF124" s="13" t="s">
        <v>681</v>
      </c>
      <c r="AG124" s="13" t="s">
        <v>91</v>
      </c>
      <c r="AH124" s="13" t="s">
        <v>102</v>
      </c>
      <c r="AI124" s="13" t="s">
        <v>103</v>
      </c>
      <c r="AJ124" s="14"/>
      <c r="AK124" s="15"/>
      <c r="AL124" s="15"/>
      <c r="AM124" s="15" t="s">
        <v>61</v>
      </c>
      <c r="AN124" s="15" t="s">
        <v>61</v>
      </c>
      <c r="AO124" s="15" t="s">
        <v>61</v>
      </c>
      <c r="AP124" s="15" t="s">
        <v>61</v>
      </c>
      <c r="AQ124" s="22"/>
      <c r="AR124" s="25"/>
      <c r="AS124" s="25"/>
      <c r="AT124" s="25"/>
      <c r="AU124" s="25"/>
      <c r="AV124" s="25"/>
      <c r="AW124" s="25"/>
      <c r="AX124" s="24"/>
    </row>
    <row r="125" spans="1:50" ht="16.5" customHeight="1">
      <c r="A125" s="36" t="s">
        <v>682</v>
      </c>
      <c r="B125" s="28"/>
      <c r="C125" s="28" t="s">
        <v>97</v>
      </c>
      <c r="D125" s="28"/>
      <c r="E125" s="28"/>
      <c r="F125" s="28" t="s">
        <v>61</v>
      </c>
      <c r="G125" s="28"/>
      <c r="H125" s="28" t="str">
        <f>IF(ISNUMBER(Table810[[#This Row],[Total Capacity]]),"USBR Enterprise Asset Registry",IF(Table810[[#This Row],[Total Capacity]]="",""))</f>
        <v/>
      </c>
      <c r="I125" s="28"/>
      <c r="J125" s="28"/>
      <c r="K125" s="28"/>
      <c r="L125" s="50" t="s">
        <v>98</v>
      </c>
      <c r="M125" s="48"/>
      <c r="N125" s="50" t="s">
        <v>98</v>
      </c>
      <c r="O125" s="28"/>
      <c r="P125" s="37"/>
      <c r="Q125" s="28" t="str">
        <f>IF(OR(Table810[[#This Row],[Post-Review Decision]]="Include", Table810[[#This Row],[Post-Review Decision]]="Include if possible", Table810[[#This Row],[Post-Review Decision]]="Include (Omit % Avg if needed)",  Table810[[#This Row],[Post-Review Decision]]="Include (Omit % Avg)"),Table810[[#This Row],[EAR Total Capacity]],"")</f>
        <v/>
      </c>
      <c r="R125" s="28"/>
      <c r="S125" s="45">
        <v>0</v>
      </c>
      <c r="T125" s="28"/>
      <c r="U125" s="28"/>
      <c r="V125" s="13" t="s">
        <v>341</v>
      </c>
      <c r="W125" s="12" t="b">
        <f>ISNUMBER(Table810[[#This Row],[EAR Total Capacity]])</f>
        <v>0</v>
      </c>
      <c r="X125" s="12" t="b">
        <f>IF(Table810[[#This Row],[Has  Storage for Full Averaging Period?]]="OK",TRUE,FALSE)</f>
        <v>0</v>
      </c>
      <c r="Y125" s="12" t="b">
        <f>IFERROR(IF(YEAR(Table810[[#This Row],[RISE Storage End Date]])=2025,TRUE,FALSE),FALSE)</f>
        <v>0</v>
      </c>
      <c r="Z125" s="11" t="b">
        <v>0</v>
      </c>
      <c r="AA125" s="13">
        <v>106</v>
      </c>
      <c r="AB125" s="13" t="s">
        <v>76</v>
      </c>
      <c r="AC125" s="13" t="s">
        <v>682</v>
      </c>
      <c r="AD125" s="13" t="s">
        <v>682</v>
      </c>
      <c r="AE125" s="13" t="s">
        <v>343</v>
      </c>
      <c r="AF125" s="13" t="s">
        <v>344</v>
      </c>
      <c r="AG125" s="13" t="s">
        <v>109</v>
      </c>
      <c r="AH125" s="13" t="s">
        <v>92</v>
      </c>
      <c r="AI125" s="13" t="s">
        <v>110</v>
      </c>
      <c r="AJ125" s="14"/>
      <c r="AK125" s="15"/>
      <c r="AL125" s="15"/>
      <c r="AM125" s="15" t="s">
        <v>61</v>
      </c>
      <c r="AN125" s="15" t="s">
        <v>61</v>
      </c>
      <c r="AO125" s="15" t="s">
        <v>61</v>
      </c>
      <c r="AP125" s="15" t="s">
        <v>61</v>
      </c>
      <c r="AQ125" s="21" t="s">
        <v>136</v>
      </c>
      <c r="AR125" s="25"/>
      <c r="AS125" s="25"/>
      <c r="AT125" s="25"/>
      <c r="AU125" s="25"/>
      <c r="AV125" s="25"/>
      <c r="AW125" s="25"/>
      <c r="AX125" s="24"/>
    </row>
    <row r="126" spans="1:50" ht="16.5" customHeight="1">
      <c r="A126" s="36" t="s">
        <v>683</v>
      </c>
      <c r="B126" s="28"/>
      <c r="C126" s="28" t="s">
        <v>97</v>
      </c>
      <c r="D126" s="28"/>
      <c r="E126" s="28"/>
      <c r="F126" s="28" t="s">
        <v>61</v>
      </c>
      <c r="G126" s="28"/>
      <c r="H126" s="28" t="str">
        <f>IF(ISNUMBER(Table810[[#This Row],[Total Capacity]]),"USBR Enterprise Asset Registry",IF(Table810[[#This Row],[Total Capacity]]="",""))</f>
        <v/>
      </c>
      <c r="I126" s="28"/>
      <c r="J126" s="28"/>
      <c r="K126" s="28"/>
      <c r="L126" s="50" t="s">
        <v>98</v>
      </c>
      <c r="M126" s="48"/>
      <c r="N126" s="50" t="s">
        <v>98</v>
      </c>
      <c r="O126" s="28"/>
      <c r="P126" s="37"/>
      <c r="Q126" s="28" t="str">
        <f>IF(OR(Table810[[#This Row],[Post-Review Decision]]="Include", Table810[[#This Row],[Post-Review Decision]]="Include if possible", Table810[[#This Row],[Post-Review Decision]]="Include (Omit % Avg if needed)",  Table810[[#This Row],[Post-Review Decision]]="Include (Omit % Avg)"),Table810[[#This Row],[EAR Total Capacity]],"")</f>
        <v/>
      </c>
      <c r="R126" s="28">
        <v>50600</v>
      </c>
      <c r="S126" s="46">
        <v>50620</v>
      </c>
      <c r="T126" s="28"/>
      <c r="U126" s="28"/>
      <c r="V126" s="13" t="s">
        <v>684</v>
      </c>
      <c r="W126" s="12" t="b">
        <f>ISNUMBER(Table810[[#This Row],[EAR Total Capacity]])</f>
        <v>1</v>
      </c>
      <c r="X126" s="12" t="b">
        <f>IF(Table810[[#This Row],[Has  Storage for Full Averaging Period?]]="OK",TRUE,FALSE)</f>
        <v>0</v>
      </c>
      <c r="Y126" s="12" t="b">
        <f>IFERROR(IF(YEAR(Table810[[#This Row],[RISE Storage End Date]])=2025,TRUE,FALSE),FALSE)</f>
        <v>0</v>
      </c>
      <c r="Z126" s="11" t="b">
        <v>0</v>
      </c>
      <c r="AA126" s="13">
        <v>107</v>
      </c>
      <c r="AB126" s="13" t="s">
        <v>76</v>
      </c>
      <c r="AC126" s="13" t="s">
        <v>683</v>
      </c>
      <c r="AD126" s="13" t="s">
        <v>683</v>
      </c>
      <c r="AE126" s="13" t="s">
        <v>78</v>
      </c>
      <c r="AF126" s="13" t="s">
        <v>685</v>
      </c>
      <c r="AG126" s="13" t="s">
        <v>159</v>
      </c>
      <c r="AH126" s="13" t="s">
        <v>160</v>
      </c>
      <c r="AI126" s="13" t="s">
        <v>82</v>
      </c>
      <c r="AJ126" s="13">
        <v>50900</v>
      </c>
      <c r="AK126" s="15"/>
      <c r="AL126" s="15"/>
      <c r="AM126" s="15" t="s">
        <v>61</v>
      </c>
      <c r="AN126" s="15" t="s">
        <v>61</v>
      </c>
      <c r="AO126" s="15" t="s">
        <v>61</v>
      </c>
      <c r="AP126" s="15" t="s">
        <v>61</v>
      </c>
      <c r="AQ126" s="21" t="s">
        <v>136</v>
      </c>
      <c r="AR126" s="25"/>
      <c r="AS126" s="25"/>
      <c r="AT126" s="25"/>
      <c r="AU126" s="25"/>
      <c r="AV126" s="25"/>
      <c r="AW126" s="25"/>
      <c r="AX126" s="24"/>
    </row>
    <row r="127" spans="1:50" ht="16.5" customHeight="1">
      <c r="A127" s="36" t="s">
        <v>686</v>
      </c>
      <c r="B127" s="28"/>
      <c r="C127" s="28" t="s">
        <v>97</v>
      </c>
      <c r="D127" s="28"/>
      <c r="E127" s="28"/>
      <c r="F127" s="28" t="s">
        <v>61</v>
      </c>
      <c r="G127" s="28"/>
      <c r="H127" s="28" t="str">
        <f>IF(ISNUMBER(Table810[[#This Row],[Total Capacity]]),"USBR Enterprise Asset Registry",IF(Table810[[#This Row],[Total Capacity]]="",""))</f>
        <v/>
      </c>
      <c r="I127" s="28"/>
      <c r="J127" s="28"/>
      <c r="K127" s="28"/>
      <c r="L127" s="50" t="s">
        <v>98</v>
      </c>
      <c r="M127" s="48"/>
      <c r="N127" s="50" t="s">
        <v>98</v>
      </c>
      <c r="O127" s="28"/>
      <c r="P127" s="37"/>
      <c r="Q127" s="28" t="str">
        <f>IF(OR(Table810[[#This Row],[Post-Review Decision]]="Include", Table810[[#This Row],[Post-Review Decision]]="Include if possible", Table810[[#This Row],[Post-Review Decision]]="Include (Omit % Avg if needed)",  Table810[[#This Row],[Post-Review Decision]]="Include (Omit % Avg)"),Table810[[#This Row],[EAR Total Capacity]],"")</f>
        <v/>
      </c>
      <c r="R127" s="28">
        <v>16</v>
      </c>
      <c r="S127" s="45">
        <v>16</v>
      </c>
      <c r="T127" s="28"/>
      <c r="U127" s="28"/>
      <c r="V127" s="13" t="s">
        <v>264</v>
      </c>
      <c r="W127" s="12" t="b">
        <f>ISNUMBER(Table810[[#This Row],[EAR Total Capacity]])</f>
        <v>1</v>
      </c>
      <c r="X127" s="12" t="b">
        <f>IF(Table810[[#This Row],[Has  Storage for Full Averaging Period?]]="OK",TRUE,FALSE)</f>
        <v>0</v>
      </c>
      <c r="Y127" s="12" t="b">
        <f>IFERROR(IF(YEAR(Table810[[#This Row],[RISE Storage End Date]])=2025,TRUE,FALSE),FALSE)</f>
        <v>0</v>
      </c>
      <c r="Z127" s="11" t="b">
        <v>0</v>
      </c>
      <c r="AA127" s="13">
        <v>108</v>
      </c>
      <c r="AB127" s="13" t="s">
        <v>76</v>
      </c>
      <c r="AC127" s="13" t="s">
        <v>687</v>
      </c>
      <c r="AD127" s="13" t="s">
        <v>686</v>
      </c>
      <c r="AE127" s="13" t="s">
        <v>101</v>
      </c>
      <c r="AF127" s="13" t="s">
        <v>688</v>
      </c>
      <c r="AG127" s="13" t="s">
        <v>91</v>
      </c>
      <c r="AH127" s="13" t="s">
        <v>92</v>
      </c>
      <c r="AI127" s="13" t="s">
        <v>110</v>
      </c>
      <c r="AJ127" s="14">
        <v>16</v>
      </c>
      <c r="AK127" s="15"/>
      <c r="AL127" s="15"/>
      <c r="AM127" s="15" t="s">
        <v>61</v>
      </c>
      <c r="AN127" s="15" t="s">
        <v>61</v>
      </c>
      <c r="AO127" s="15" t="s">
        <v>61</v>
      </c>
      <c r="AP127" s="15" t="s">
        <v>61</v>
      </c>
      <c r="AQ127" s="22"/>
      <c r="AR127" s="25"/>
      <c r="AS127" s="25"/>
      <c r="AT127" s="25"/>
      <c r="AU127" s="25"/>
      <c r="AV127" s="25"/>
      <c r="AW127" s="25"/>
      <c r="AX127" s="24"/>
    </row>
    <row r="128" spans="1:50" ht="16.5" customHeight="1">
      <c r="A128" s="36" t="s">
        <v>689</v>
      </c>
      <c r="B128" s="28"/>
      <c r="C128" s="28" t="s">
        <v>97</v>
      </c>
      <c r="D128" s="28"/>
      <c r="E128" s="28"/>
      <c r="F128" s="28" t="s">
        <v>61</v>
      </c>
      <c r="G128" s="28"/>
      <c r="H128" s="28" t="str">
        <f>IF(ISNUMBER(Table810[[#This Row],[Total Capacity]]),"USBR Enterprise Asset Registry",IF(Table810[[#This Row],[Total Capacity]]="",""))</f>
        <v/>
      </c>
      <c r="I128" s="28"/>
      <c r="J128" s="28"/>
      <c r="K128" s="28"/>
      <c r="L128" s="50" t="s">
        <v>98</v>
      </c>
      <c r="M128" s="48"/>
      <c r="N128" s="50" t="s">
        <v>98</v>
      </c>
      <c r="O128" s="28"/>
      <c r="P128" s="37"/>
      <c r="Q128" s="28" t="str">
        <f>IF(OR(Table810[[#This Row],[Post-Review Decision]]="Include", Table810[[#This Row],[Post-Review Decision]]="Include if possible", Table810[[#This Row],[Post-Review Decision]]="Include (Omit % Avg if needed)",  Table810[[#This Row],[Post-Review Decision]]="Include (Omit % Avg)"),Table810[[#This Row],[EAR Total Capacity]],"")</f>
        <v/>
      </c>
      <c r="R128" s="28"/>
      <c r="S128" s="45">
        <v>0</v>
      </c>
      <c r="T128" s="28"/>
      <c r="U128" s="28"/>
      <c r="V128" s="13" t="s">
        <v>385</v>
      </c>
      <c r="W128" s="12" t="b">
        <f>ISNUMBER(Table810[[#This Row],[EAR Total Capacity]])</f>
        <v>1</v>
      </c>
      <c r="X128" s="12" t="b">
        <f>IF(Table810[[#This Row],[Has  Storage for Full Averaging Period?]]="OK",TRUE,FALSE)</f>
        <v>0</v>
      </c>
      <c r="Y128" s="12" t="b">
        <f>IFERROR(IF(YEAR(Table810[[#This Row],[RISE Storage End Date]])=2025,TRUE,FALSE),FALSE)</f>
        <v>0</v>
      </c>
      <c r="Z128" s="11" t="b">
        <v>0</v>
      </c>
      <c r="AA128" s="13">
        <v>213</v>
      </c>
      <c r="AB128" s="13" t="s">
        <v>76</v>
      </c>
      <c r="AC128" s="13" t="s">
        <v>690</v>
      </c>
      <c r="AD128" s="13" t="s">
        <v>689</v>
      </c>
      <c r="AE128" s="13" t="s">
        <v>78</v>
      </c>
      <c r="AF128" s="13" t="s">
        <v>691</v>
      </c>
      <c r="AG128" s="13" t="s">
        <v>80</v>
      </c>
      <c r="AH128" s="13" t="s">
        <v>81</v>
      </c>
      <c r="AI128" s="13" t="s">
        <v>103</v>
      </c>
      <c r="AJ128" s="14">
        <v>3990</v>
      </c>
      <c r="AK128" s="15"/>
      <c r="AL128" s="15"/>
      <c r="AM128" s="15" t="s">
        <v>61</v>
      </c>
      <c r="AN128" s="15" t="s">
        <v>61</v>
      </c>
      <c r="AO128" s="15" t="s">
        <v>61</v>
      </c>
      <c r="AP128" s="15" t="s">
        <v>61</v>
      </c>
      <c r="AQ128" s="21" t="s">
        <v>136</v>
      </c>
      <c r="AR128" s="25"/>
      <c r="AS128" s="25"/>
      <c r="AT128" s="25"/>
      <c r="AU128" s="25"/>
      <c r="AV128" s="25"/>
      <c r="AW128" s="25"/>
      <c r="AX128" s="24"/>
    </row>
    <row r="129" spans="1:50" ht="16.5" customHeight="1">
      <c r="A129" s="36" t="s">
        <v>692</v>
      </c>
      <c r="B129" s="28" t="s">
        <v>68</v>
      </c>
      <c r="C129" s="28" t="s">
        <v>86</v>
      </c>
      <c r="D129" s="28"/>
      <c r="E129" s="28" t="s">
        <v>70</v>
      </c>
      <c r="F129" s="28">
        <v>320</v>
      </c>
      <c r="G129" s="28">
        <v>3</v>
      </c>
      <c r="H129" s="28" t="str">
        <f>IF(ISNUMBER(Table810[[#This Row],[Total Capacity]]),"USBR Enterprise Asset Registry",IF(Table810[[#This Row],[Total Capacity]]="",""))</f>
        <v>USBR Enterprise Asset Registry</v>
      </c>
      <c r="I129" s="28" t="s">
        <v>257</v>
      </c>
      <c r="J129" s="28" t="s">
        <v>72</v>
      </c>
      <c r="K129" s="28"/>
      <c r="L129" s="50">
        <v>73940</v>
      </c>
      <c r="M129" s="48"/>
      <c r="N129" s="50">
        <v>73940</v>
      </c>
      <c r="O129" s="28"/>
      <c r="P129" s="37"/>
      <c r="Q129" s="28">
        <f>IF(OR(Table810[[#This Row],[Post-Review Decision]]="Include", Table810[[#This Row],[Post-Review Decision]]="Include if possible", Table810[[#This Row],[Post-Review Decision]]="Include (Omit % Avg if needed)",  Table810[[#This Row],[Post-Review Decision]]="Include (Omit % Avg)"),Table810[[#This Row],[EAR Total Capacity]],"")</f>
        <v>73940</v>
      </c>
      <c r="R129" s="28">
        <v>73940</v>
      </c>
      <c r="S129" s="46">
        <v>73940</v>
      </c>
      <c r="T129" s="28" t="s">
        <v>692</v>
      </c>
      <c r="U129" s="28" t="s">
        <v>693</v>
      </c>
      <c r="V129" s="13" t="s">
        <v>694</v>
      </c>
      <c r="W129" s="12" t="b">
        <f>ISNUMBER(Table810[[#This Row],[EAR Total Capacity]])</f>
        <v>1</v>
      </c>
      <c r="X129" s="12" t="b">
        <f>IF(Table810[[#This Row],[Has  Storage for Full Averaging Period?]]="OK",TRUE,FALSE)</f>
        <v>1</v>
      </c>
      <c r="Y129" s="12" t="b">
        <f>IFERROR(IF(YEAR(Table810[[#This Row],[RISE Storage End Date]])=2025,TRUE,FALSE),FALSE)</f>
        <v>1</v>
      </c>
      <c r="Z129" s="11" t="b">
        <v>0</v>
      </c>
      <c r="AA129" s="13">
        <v>109</v>
      </c>
      <c r="AB129" s="13" t="s">
        <v>76</v>
      </c>
      <c r="AC129" s="13" t="s">
        <v>695</v>
      </c>
      <c r="AD129" s="13" t="s">
        <v>692</v>
      </c>
      <c r="AE129" s="13" t="s">
        <v>78</v>
      </c>
      <c r="AF129" s="13" t="s">
        <v>696</v>
      </c>
      <c r="AG129" s="13" t="s">
        <v>91</v>
      </c>
      <c r="AH129" s="13" t="s">
        <v>102</v>
      </c>
      <c r="AI129" s="13" t="s">
        <v>93</v>
      </c>
      <c r="AJ129" s="14">
        <v>73940</v>
      </c>
      <c r="AK129" s="18"/>
      <c r="AL129" s="18"/>
      <c r="AM129" s="13" t="s">
        <v>697</v>
      </c>
      <c r="AN129" s="13" t="s">
        <v>63</v>
      </c>
      <c r="AO129" s="13" t="s">
        <v>692</v>
      </c>
      <c r="AP129" s="13" t="s">
        <v>692</v>
      </c>
      <c r="AQ129" s="21" t="s">
        <v>64</v>
      </c>
      <c r="AR129" s="26">
        <v>24473</v>
      </c>
      <c r="AS129" s="26">
        <v>46007</v>
      </c>
      <c r="AT129" s="25">
        <v>21536</v>
      </c>
      <c r="AU129" s="25" t="s">
        <v>65</v>
      </c>
      <c r="AV129" s="25" t="s">
        <v>65</v>
      </c>
      <c r="AW129" s="25" t="s">
        <v>65</v>
      </c>
      <c r="AX129" s="24"/>
    </row>
    <row r="130" spans="1:50" ht="16.5" customHeight="1">
      <c r="A130" s="36" t="s">
        <v>698</v>
      </c>
      <c r="B130" s="28" t="s">
        <v>68</v>
      </c>
      <c r="C130" s="28" t="s">
        <v>86</v>
      </c>
      <c r="D130" s="28"/>
      <c r="E130" s="28" t="s">
        <v>70</v>
      </c>
      <c r="F130" s="28">
        <v>321</v>
      </c>
      <c r="G130" s="28">
        <v>3</v>
      </c>
      <c r="H130" s="28" t="str">
        <f>IF(ISNUMBER(Table810[[#This Row],[Total Capacity]]),"USBR Enterprise Asset Registry",IF(Table810[[#This Row],[Total Capacity]]="",""))</f>
        <v>USBR Enterprise Asset Registry</v>
      </c>
      <c r="I130" s="28" t="s">
        <v>257</v>
      </c>
      <c r="J130" s="28" t="s">
        <v>72</v>
      </c>
      <c r="K130" s="28"/>
      <c r="L130" s="50">
        <v>13164</v>
      </c>
      <c r="M130" s="48"/>
      <c r="N130" s="50">
        <v>13164</v>
      </c>
      <c r="O130" s="28"/>
      <c r="P130" s="37"/>
      <c r="Q130" s="28">
        <f>IF(OR(Table810[[#This Row],[Post-Review Decision]]="Include", Table810[[#This Row],[Post-Review Decision]]="Include if possible", Table810[[#This Row],[Post-Review Decision]]="Include (Omit % Avg if needed)",  Table810[[#This Row],[Post-Review Decision]]="Include (Omit % Avg)"),Table810[[#This Row],[EAR Total Capacity]],"")</f>
        <v>14421</v>
      </c>
      <c r="R130" s="28">
        <v>13164</v>
      </c>
      <c r="S130" s="46">
        <v>13164</v>
      </c>
      <c r="T130" s="28" t="s">
        <v>699</v>
      </c>
      <c r="U130" s="28" t="s">
        <v>700</v>
      </c>
      <c r="V130" s="13" t="s">
        <v>259</v>
      </c>
      <c r="W130" s="12" t="b">
        <f>ISNUMBER(Table810[[#This Row],[EAR Total Capacity]])</f>
        <v>1</v>
      </c>
      <c r="X130" s="12" t="b">
        <f>IF(Table810[[#This Row],[Has  Storage for Full Averaging Period?]]="OK",TRUE,FALSE)</f>
        <v>1</v>
      </c>
      <c r="Y130" s="12" t="b">
        <f>IFERROR(IF(YEAR(Table810[[#This Row],[RISE Storage End Date]])=2025,TRUE,FALSE),FALSE)</f>
        <v>1</v>
      </c>
      <c r="Z130" s="11" t="b">
        <v>0</v>
      </c>
      <c r="AA130" s="13">
        <v>110</v>
      </c>
      <c r="AB130" s="13" t="s">
        <v>76</v>
      </c>
      <c r="AC130" s="13" t="s">
        <v>701</v>
      </c>
      <c r="AD130" s="13" t="s">
        <v>698</v>
      </c>
      <c r="AE130" s="13" t="s">
        <v>78</v>
      </c>
      <c r="AF130" s="13" t="s">
        <v>702</v>
      </c>
      <c r="AG130" s="13" t="s">
        <v>91</v>
      </c>
      <c r="AH130" s="13" t="s">
        <v>102</v>
      </c>
      <c r="AI130" s="13" t="s">
        <v>82</v>
      </c>
      <c r="AJ130" s="13">
        <v>14421</v>
      </c>
      <c r="AK130" s="18"/>
      <c r="AL130" s="18"/>
      <c r="AM130" s="13" t="s">
        <v>703</v>
      </c>
      <c r="AN130" s="13" t="s">
        <v>63</v>
      </c>
      <c r="AO130" s="13" t="s">
        <v>698</v>
      </c>
      <c r="AP130" s="13" t="s">
        <v>698</v>
      </c>
      <c r="AQ130" s="21" t="s">
        <v>64</v>
      </c>
      <c r="AR130" s="26">
        <v>27363</v>
      </c>
      <c r="AS130" s="26">
        <v>46007</v>
      </c>
      <c r="AT130" s="25">
        <v>18646</v>
      </c>
      <c r="AU130" s="25" t="s">
        <v>65</v>
      </c>
      <c r="AV130" s="25" t="s">
        <v>65</v>
      </c>
      <c r="AW130" s="25" t="s">
        <v>65</v>
      </c>
      <c r="AX130" s="24"/>
    </row>
    <row r="131" spans="1:50" ht="16.5" customHeight="1">
      <c r="A131" s="36" t="s">
        <v>704</v>
      </c>
      <c r="B131" s="28" t="s">
        <v>68</v>
      </c>
      <c r="C131" s="28" t="s">
        <v>86</v>
      </c>
      <c r="D131" s="28"/>
      <c r="E131" s="28" t="s">
        <v>70</v>
      </c>
      <c r="F131" s="28">
        <v>318</v>
      </c>
      <c r="G131" s="28">
        <v>3</v>
      </c>
      <c r="H131" s="28" t="str">
        <f>IF(ISNUMBER(Table810[[#This Row],[Total Capacity]]),"USBR Enterprise Asset Registry",IF(Table810[[#This Row],[Total Capacity]]="",""))</f>
        <v>USBR Enterprise Asset Registry</v>
      </c>
      <c r="I131" s="28" t="s">
        <v>71</v>
      </c>
      <c r="J131" s="28" t="s">
        <v>72</v>
      </c>
      <c r="K131" s="28">
        <v>0</v>
      </c>
      <c r="L131" s="50">
        <v>8041</v>
      </c>
      <c r="M131" s="48"/>
      <c r="N131" s="50">
        <v>8041</v>
      </c>
      <c r="O131" s="28"/>
      <c r="P131" s="37"/>
      <c r="Q131" s="28">
        <f>IF(OR(Table810[[#This Row],[Post-Review Decision]]="Include", Table810[[#This Row],[Post-Review Decision]]="Include if possible", Table810[[#This Row],[Post-Review Decision]]="Include (Omit % Avg if needed)",  Table810[[#This Row],[Post-Review Decision]]="Include (Omit % Avg)"),Table810[[#This Row],[EAR Total Capacity]],"")</f>
        <v>8479</v>
      </c>
      <c r="R131" s="28">
        <v>8041</v>
      </c>
      <c r="S131" s="46">
        <v>8130</v>
      </c>
      <c r="T131" s="28" t="s">
        <v>705</v>
      </c>
      <c r="U131" s="28" t="s">
        <v>706</v>
      </c>
      <c r="V131" s="13" t="s">
        <v>707</v>
      </c>
      <c r="W131" s="12" t="b">
        <f>ISNUMBER(Table810[[#This Row],[EAR Total Capacity]])</f>
        <v>1</v>
      </c>
      <c r="X131" s="12" t="b">
        <f>IF(Table810[[#This Row],[Has  Storage for Full Averaging Period?]]="OK",TRUE,FALSE)</f>
        <v>1</v>
      </c>
      <c r="Y131" s="12" t="b">
        <f>IFERROR(IF(YEAR(Table810[[#This Row],[RISE Storage End Date]])=2025,TRUE,FALSE),FALSE)</f>
        <v>1</v>
      </c>
      <c r="Z131" s="11" t="b">
        <v>0</v>
      </c>
      <c r="AA131" s="13">
        <v>111</v>
      </c>
      <c r="AB131" s="13" t="s">
        <v>76</v>
      </c>
      <c r="AC131" s="13" t="s">
        <v>708</v>
      </c>
      <c r="AD131" s="13" t="s">
        <v>704</v>
      </c>
      <c r="AE131" s="13" t="s">
        <v>78</v>
      </c>
      <c r="AF131" s="13" t="s">
        <v>709</v>
      </c>
      <c r="AG131" s="13" t="s">
        <v>109</v>
      </c>
      <c r="AH131" s="13" t="s">
        <v>92</v>
      </c>
      <c r="AI131" s="13" t="s">
        <v>93</v>
      </c>
      <c r="AJ131" s="14">
        <v>8479</v>
      </c>
      <c r="AK131" s="18"/>
      <c r="AL131" s="18"/>
      <c r="AM131" s="13" t="s">
        <v>708</v>
      </c>
      <c r="AN131" s="13" t="s">
        <v>95</v>
      </c>
      <c r="AO131" s="13" t="s">
        <v>704</v>
      </c>
      <c r="AP131" s="13" t="e">
        <v>#N/A</v>
      </c>
      <c r="AQ131" s="21" t="s">
        <v>64</v>
      </c>
      <c r="AR131" s="26">
        <v>18902</v>
      </c>
      <c r="AS131" s="26">
        <v>46007</v>
      </c>
      <c r="AT131" s="25">
        <v>27107</v>
      </c>
      <c r="AU131" s="25" t="s">
        <v>65</v>
      </c>
      <c r="AV131" s="25" t="s">
        <v>65</v>
      </c>
      <c r="AW131" s="25" t="s">
        <v>65</v>
      </c>
      <c r="AX131" s="24"/>
    </row>
    <row r="132" spans="1:50" ht="16.5" customHeight="1">
      <c r="A132" s="36" t="s">
        <v>710</v>
      </c>
      <c r="B132" s="28" t="s">
        <v>68</v>
      </c>
      <c r="C132" s="28" t="s">
        <v>86</v>
      </c>
      <c r="D132" s="28"/>
      <c r="E132" s="28" t="s">
        <v>70</v>
      </c>
      <c r="F132" s="28">
        <v>324</v>
      </c>
      <c r="G132" s="28">
        <v>3</v>
      </c>
      <c r="H132" s="28" t="str">
        <f>IF(ISNUMBER(Table810[[#This Row],[Total Capacity]]),"USBR Enterprise Asset Registry",IF(Table810[[#This Row],[Total Capacity]]="",""))</f>
        <v>USBR Enterprise Asset Registry</v>
      </c>
      <c r="I132" s="28" t="s">
        <v>57</v>
      </c>
      <c r="J132" s="28" t="s">
        <v>72</v>
      </c>
      <c r="K132" s="28"/>
      <c r="L132" s="50">
        <v>214091</v>
      </c>
      <c r="M132" s="48">
        <v>25678</v>
      </c>
      <c r="N132" s="50">
        <v>25678</v>
      </c>
      <c r="O132" s="28" t="s">
        <v>711</v>
      </c>
      <c r="P132" s="37"/>
      <c r="Q132" s="28">
        <f>IF(OR(Table810[[#This Row],[Post-Review Decision]]="Include", Table810[[#This Row],[Post-Review Decision]]="Include if possible", Table810[[#This Row],[Post-Review Decision]]="Include (Omit % Avg if needed)",  Table810[[#This Row],[Post-Review Decision]]="Include (Omit % Avg)"),Table810[[#This Row],[EAR Total Capacity]],"")</f>
        <v>214091</v>
      </c>
      <c r="R132" s="28">
        <v>191050</v>
      </c>
      <c r="S132" s="46">
        <v>213834</v>
      </c>
      <c r="T132" s="28" t="s">
        <v>710</v>
      </c>
      <c r="U132" s="28" t="s">
        <v>712</v>
      </c>
      <c r="V132" s="13" t="s">
        <v>168</v>
      </c>
      <c r="W132" s="12" t="b">
        <f>ISNUMBER(Table810[[#This Row],[EAR Total Capacity]])</f>
        <v>1</v>
      </c>
      <c r="X132" s="12" t="b">
        <f>IF(Table810[[#This Row],[Has  Storage for Full Averaging Period?]]="OK",TRUE,FALSE)</f>
        <v>1</v>
      </c>
      <c r="Y132" s="12" t="b">
        <f>IFERROR(IF(YEAR(Table810[[#This Row],[RISE Storage End Date]])=2025,TRUE,FALSE),FALSE)</f>
        <v>1</v>
      </c>
      <c r="Z132" s="11" t="b">
        <v>0</v>
      </c>
      <c r="AA132" s="13">
        <v>112</v>
      </c>
      <c r="AB132" s="13" t="s">
        <v>76</v>
      </c>
      <c r="AC132" s="13" t="s">
        <v>713</v>
      </c>
      <c r="AD132" s="13" t="s">
        <v>710</v>
      </c>
      <c r="AE132" s="13" t="s">
        <v>78</v>
      </c>
      <c r="AF132" s="13" t="s">
        <v>714</v>
      </c>
      <c r="AG132" s="13" t="s">
        <v>91</v>
      </c>
      <c r="AH132" s="13" t="s">
        <v>102</v>
      </c>
      <c r="AI132" s="13" t="s">
        <v>93</v>
      </c>
      <c r="AJ132" s="14">
        <v>214091</v>
      </c>
      <c r="AK132" s="18"/>
      <c r="AL132" s="18"/>
      <c r="AM132" s="13" t="s">
        <v>715</v>
      </c>
      <c r="AN132" s="13" t="s">
        <v>63</v>
      </c>
      <c r="AO132" s="13" t="s">
        <v>710</v>
      </c>
      <c r="AP132" s="13" t="s">
        <v>710</v>
      </c>
      <c r="AQ132" s="21" t="s">
        <v>64</v>
      </c>
      <c r="AR132" s="26">
        <v>27394</v>
      </c>
      <c r="AS132" s="26">
        <v>46007</v>
      </c>
      <c r="AT132" s="25">
        <v>18615</v>
      </c>
      <c r="AU132" s="25" t="s">
        <v>65</v>
      </c>
      <c r="AV132" s="25" t="s">
        <v>65</v>
      </c>
      <c r="AW132" s="25" t="s">
        <v>65</v>
      </c>
      <c r="AX132" s="24"/>
    </row>
    <row r="133" spans="1:50" ht="16.5" customHeight="1">
      <c r="A133" s="36" t="s">
        <v>716</v>
      </c>
      <c r="B133" s="28" t="s">
        <v>68</v>
      </c>
      <c r="C133" s="28" t="s">
        <v>86</v>
      </c>
      <c r="D133" s="28"/>
      <c r="E133" s="28" t="s">
        <v>70</v>
      </c>
      <c r="F133" s="28">
        <v>323</v>
      </c>
      <c r="G133" s="28">
        <v>3</v>
      </c>
      <c r="H133" s="28" t="str">
        <f>IF(ISNUMBER(Table810[[#This Row],[Total Capacity]]),"USBR Enterprise Asset Registry",IF(Table810[[#This Row],[Total Capacity]]="",""))</f>
        <v>USBR Enterprise Asset Registry</v>
      </c>
      <c r="I133" s="28" t="s">
        <v>57</v>
      </c>
      <c r="J133" s="28" t="s">
        <v>127</v>
      </c>
      <c r="K133" s="28"/>
      <c r="L133" s="50">
        <v>2357104</v>
      </c>
      <c r="M133" s="48">
        <v>2010900</v>
      </c>
      <c r="N133" s="50">
        <v>2010900</v>
      </c>
      <c r="O133" s="28"/>
      <c r="P133" s="37"/>
      <c r="Q133" s="28">
        <f>IF(OR(Table810[[#This Row],[Post-Review Decision]]="Include", Table810[[#This Row],[Post-Review Decision]]="Include if possible", Table810[[#This Row],[Post-Review Decision]]="Include (Omit % Avg if needed)",  Table810[[#This Row],[Post-Review Decision]]="Include (Omit % Avg)"),Table810[[#This Row],[EAR Total Capacity]],"")</f>
        <v>2357104</v>
      </c>
      <c r="R133" s="28">
        <v>2010900</v>
      </c>
      <c r="S133" s="46">
        <v>2357104</v>
      </c>
      <c r="T133" s="28" t="s">
        <v>716</v>
      </c>
      <c r="U133" s="28" t="s">
        <v>717</v>
      </c>
      <c r="V133" s="13" t="s">
        <v>393</v>
      </c>
      <c r="W133" s="12" t="b">
        <f>ISNUMBER(Table810[[#This Row],[EAR Total Capacity]])</f>
        <v>1</v>
      </c>
      <c r="X133" s="12" t="b">
        <f>IF(Table810[[#This Row],[Has  Storage for Full Averaging Period?]]="OK",TRUE,FALSE)</f>
        <v>1</v>
      </c>
      <c r="Y133" s="12" t="b">
        <f>IFERROR(IF(YEAR(Table810[[#This Row],[RISE Storage End Date]])=2025,TRUE,FALSE),FALSE)</f>
        <v>1</v>
      </c>
      <c r="Z133" s="11" t="b">
        <v>0</v>
      </c>
      <c r="AA133" s="13">
        <v>113</v>
      </c>
      <c r="AB133" s="13" t="s">
        <v>76</v>
      </c>
      <c r="AC133" s="13" t="s">
        <v>718</v>
      </c>
      <c r="AD133" s="13" t="s">
        <v>716</v>
      </c>
      <c r="AE133" s="13" t="s">
        <v>78</v>
      </c>
      <c r="AF133" s="13" t="s">
        <v>719</v>
      </c>
      <c r="AG133" s="13" t="s">
        <v>91</v>
      </c>
      <c r="AH133" s="13" t="s">
        <v>102</v>
      </c>
      <c r="AI133" s="13" t="s">
        <v>93</v>
      </c>
      <c r="AJ133" s="14">
        <v>2357104</v>
      </c>
      <c r="AK133" s="18"/>
      <c r="AL133" s="18"/>
      <c r="AM133" s="13" t="s">
        <v>720</v>
      </c>
      <c r="AN133" s="13" t="s">
        <v>63</v>
      </c>
      <c r="AO133" s="13" t="s">
        <v>716</v>
      </c>
      <c r="AP133" s="13" t="s">
        <v>716</v>
      </c>
      <c r="AQ133" s="21" t="s">
        <v>64</v>
      </c>
      <c r="AR133" s="26">
        <v>5559</v>
      </c>
      <c r="AS133" s="26">
        <v>46006</v>
      </c>
      <c r="AT133" s="25">
        <v>40449</v>
      </c>
      <c r="AU133" s="25" t="s">
        <v>65</v>
      </c>
      <c r="AV133" s="25" t="s">
        <v>65</v>
      </c>
      <c r="AW133" s="25" t="s">
        <v>65</v>
      </c>
      <c r="AX133" s="24"/>
    </row>
    <row r="134" spans="1:50" ht="16.5" customHeight="1">
      <c r="A134" s="36" t="s">
        <v>721</v>
      </c>
      <c r="B134" s="28" t="s">
        <v>68</v>
      </c>
      <c r="C134" s="28" t="s">
        <v>86</v>
      </c>
      <c r="D134" s="28"/>
      <c r="E134" s="28" t="s">
        <v>70</v>
      </c>
      <c r="F134" s="28">
        <v>396</v>
      </c>
      <c r="G134" s="28">
        <v>3</v>
      </c>
      <c r="H134" s="28" t="str">
        <f>IF(ISNUMBER(Table810[[#This Row],[Total Capacity]]),"USBR Enterprise Asset Registry",IF(Table810[[#This Row],[Total Capacity]]="",""))</f>
        <v>USBR Enterprise Asset Registry</v>
      </c>
      <c r="I134" s="28" t="s">
        <v>57</v>
      </c>
      <c r="J134" s="28" t="s">
        <v>127</v>
      </c>
      <c r="K134" s="28">
        <v>404674</v>
      </c>
      <c r="L134" s="50">
        <v>924049</v>
      </c>
      <c r="M134" s="48">
        <v>918394</v>
      </c>
      <c r="N134" s="50">
        <v>918394</v>
      </c>
      <c r="O134" s="28"/>
      <c r="P134" s="37"/>
      <c r="Q134" s="28">
        <f>IF(OR(Table810[[#This Row],[Post-Review Decision]]="Include", Table810[[#This Row],[Post-Review Decision]]="Include if possible", Table810[[#This Row],[Post-Review Decision]]="Include (Omit % Avg if needed)",  Table810[[#This Row],[Post-Review Decision]]="Include (Omit % Avg)"),Table810[[#This Row],[EAR Total Capacity]],"")</f>
        <v>1328723</v>
      </c>
      <c r="R134" s="28">
        <v>774393</v>
      </c>
      <c r="S134" s="46">
        <v>1309102</v>
      </c>
      <c r="T134" s="28" t="s">
        <v>722</v>
      </c>
      <c r="U134" s="28" t="s">
        <v>723</v>
      </c>
      <c r="V134" s="13" t="s">
        <v>724</v>
      </c>
      <c r="W134" s="12" t="b">
        <f>ISNUMBER(Table810[[#This Row],[EAR Total Capacity]])</f>
        <v>1</v>
      </c>
      <c r="X134" s="12" t="b">
        <f>IF(Table810[[#This Row],[Has  Storage for Full Averaging Period?]]="OK",TRUE,FALSE)</f>
        <v>1</v>
      </c>
      <c r="Y134" s="12" t="b">
        <f>IFERROR(IF(YEAR(Table810[[#This Row],[RISE Storage End Date]])=2025,TRUE,FALSE),FALSE)</f>
        <v>1</v>
      </c>
      <c r="Z134" s="11" t="b">
        <v>0</v>
      </c>
      <c r="AA134" s="13">
        <v>214</v>
      </c>
      <c r="AB134" s="13" t="s">
        <v>76</v>
      </c>
      <c r="AC134" s="13" t="s">
        <v>725</v>
      </c>
      <c r="AD134" s="13" t="s">
        <v>721</v>
      </c>
      <c r="AE134" s="13" t="s">
        <v>78</v>
      </c>
      <c r="AF134" s="13" t="s">
        <v>726</v>
      </c>
      <c r="AG134" s="13" t="s">
        <v>109</v>
      </c>
      <c r="AH134" s="13" t="s">
        <v>92</v>
      </c>
      <c r="AI134" s="13" t="s">
        <v>93</v>
      </c>
      <c r="AJ134" s="14">
        <v>1328723</v>
      </c>
      <c r="AK134" s="18"/>
      <c r="AL134" s="18"/>
      <c r="AM134" s="13" t="s">
        <v>727</v>
      </c>
      <c r="AN134" s="13" t="s">
        <v>95</v>
      </c>
      <c r="AO134" s="13" t="s">
        <v>721</v>
      </c>
      <c r="AP134" s="13" t="s">
        <v>728</v>
      </c>
      <c r="AQ134" s="21" t="s">
        <v>64</v>
      </c>
      <c r="AR134" s="26">
        <v>20363</v>
      </c>
      <c r="AS134" s="26">
        <v>46007</v>
      </c>
      <c r="AT134" s="25">
        <v>25689</v>
      </c>
      <c r="AU134" s="25" t="s">
        <v>65</v>
      </c>
      <c r="AV134" s="25" t="s">
        <v>65</v>
      </c>
      <c r="AW134" s="25" t="s">
        <v>65</v>
      </c>
      <c r="AX134" s="24"/>
    </row>
    <row r="135" spans="1:50" ht="16.5" customHeight="1">
      <c r="A135" s="36" t="s">
        <v>729</v>
      </c>
      <c r="B135" s="28" t="s">
        <v>68</v>
      </c>
      <c r="C135" s="28" t="s">
        <v>69</v>
      </c>
      <c r="D135" s="28"/>
      <c r="E135" s="28" t="s">
        <v>70</v>
      </c>
      <c r="F135" s="28">
        <v>7174</v>
      </c>
      <c r="G135" s="28">
        <v>3</v>
      </c>
      <c r="H135" s="28" t="str">
        <f>IF(ISNUMBER(Table810[[#This Row],[Total Capacity]]),"USBR Enterprise Asset Registry",IF(Table810[[#This Row],[Total Capacity]]="",""))</f>
        <v>USBR Enterprise Asset Registry</v>
      </c>
      <c r="I135" s="28" t="s">
        <v>71</v>
      </c>
      <c r="J135" s="28" t="s">
        <v>72</v>
      </c>
      <c r="K135" s="28"/>
      <c r="L135" s="50">
        <v>39000</v>
      </c>
      <c r="M135" s="48"/>
      <c r="N135" s="50">
        <v>39000</v>
      </c>
      <c r="O135" s="28"/>
      <c r="P135" s="37"/>
      <c r="Q135" s="28">
        <f>IF(OR(Table810[[#This Row],[Post-Review Decision]]="Include", Table810[[#This Row],[Post-Review Decision]]="Include if possible", Table810[[#This Row],[Post-Review Decision]]="Include (Omit % Avg if needed)",  Table810[[#This Row],[Post-Review Decision]]="Include (Omit % Avg)"),Table810[[#This Row],[EAR Total Capacity]],"")</f>
        <v>40500</v>
      </c>
      <c r="R135" s="28">
        <v>39000</v>
      </c>
      <c r="S135" s="46">
        <v>38970</v>
      </c>
      <c r="T135" s="28" t="s">
        <v>729</v>
      </c>
      <c r="U135" s="28" t="s">
        <v>730</v>
      </c>
      <c r="V135" s="13" t="s">
        <v>74</v>
      </c>
      <c r="W135" s="12" t="b">
        <f>ISNUMBER(Table810[[#This Row],[EAR Total Capacity]])</f>
        <v>1</v>
      </c>
      <c r="X135" s="12" t="s">
        <v>75</v>
      </c>
      <c r="Y135" s="12" t="b">
        <f>IFERROR(IF(YEAR(Table810[[#This Row],[RISE Storage End Date]])=2025,TRUE,FALSE),FALSE)</f>
        <v>0</v>
      </c>
      <c r="Z135" s="11" t="b">
        <v>0</v>
      </c>
      <c r="AA135" s="13">
        <v>114</v>
      </c>
      <c r="AB135" s="13" t="s">
        <v>76</v>
      </c>
      <c r="AC135" s="13" t="s">
        <v>731</v>
      </c>
      <c r="AD135" s="13" t="s">
        <v>729</v>
      </c>
      <c r="AE135" s="13" t="s">
        <v>78</v>
      </c>
      <c r="AF135" s="13" t="s">
        <v>732</v>
      </c>
      <c r="AG135" s="13" t="s">
        <v>80</v>
      </c>
      <c r="AH135" s="13" t="s">
        <v>81</v>
      </c>
      <c r="AI135" s="13" t="s">
        <v>93</v>
      </c>
      <c r="AJ135" s="19">
        <v>40500</v>
      </c>
      <c r="AK135" s="18"/>
      <c r="AL135" s="18"/>
      <c r="AM135" s="13" t="s">
        <v>733</v>
      </c>
      <c r="AN135" s="13" t="s">
        <v>84</v>
      </c>
      <c r="AO135" s="13" t="s">
        <v>729</v>
      </c>
      <c r="AP135" s="13" t="s">
        <v>729</v>
      </c>
      <c r="AQ135" s="21" t="s">
        <v>64</v>
      </c>
      <c r="AR135" s="25"/>
      <c r="AS135" s="25"/>
      <c r="AT135" s="25"/>
      <c r="AU135" s="25"/>
      <c r="AV135" s="25"/>
      <c r="AW135" s="25"/>
      <c r="AX135" s="24"/>
    </row>
    <row r="136" spans="1:50" ht="16.5" customHeight="1">
      <c r="A136" s="36" t="s">
        <v>734</v>
      </c>
      <c r="B136" s="28" t="s">
        <v>68</v>
      </c>
      <c r="C136" s="29" t="s">
        <v>52</v>
      </c>
      <c r="D136" s="28" t="s">
        <v>125</v>
      </c>
      <c r="E136" s="28" t="s">
        <v>126</v>
      </c>
      <c r="F136" s="28">
        <v>3656</v>
      </c>
      <c r="G136" s="28">
        <v>3</v>
      </c>
      <c r="H136" s="28" t="str">
        <f>IF(ISNUMBER(Table810[[#This Row],[Total Capacity]]),"USBR Enterprise Asset Registry",IF(Table810[[#This Row],[Total Capacity]]="",""))</f>
        <v>USBR Enterprise Asset Registry</v>
      </c>
      <c r="I136" s="28" t="s">
        <v>57</v>
      </c>
      <c r="J136" s="28" t="s">
        <v>127</v>
      </c>
      <c r="K136" s="33">
        <v>30048</v>
      </c>
      <c r="L136" s="50">
        <v>42910</v>
      </c>
      <c r="M136" s="48"/>
      <c r="N136" s="50">
        <v>42910</v>
      </c>
      <c r="O136" s="28"/>
      <c r="P136" s="38" t="s">
        <v>735</v>
      </c>
      <c r="Q136" s="28">
        <f>IF(OR(Table810[[#This Row],[Post-Review Decision]]="Include", Table810[[#This Row],[Post-Review Decision]]="Include if possible", Table810[[#This Row],[Post-Review Decision]]="Include (Omit % Avg if needed)",  Table810[[#This Row],[Post-Review Decision]]="Include (Omit % Avg)"),Table810[[#This Row],[EAR Total Capacity]],"")</f>
        <v>72958</v>
      </c>
      <c r="R136" s="28">
        <v>64010</v>
      </c>
      <c r="S136" s="46">
        <v>65442</v>
      </c>
      <c r="T136" s="28" t="s">
        <v>734</v>
      </c>
      <c r="U136" s="28" t="s">
        <v>736</v>
      </c>
      <c r="V136" s="13" t="s">
        <v>220</v>
      </c>
      <c r="W136" s="12" t="b">
        <f>ISNUMBER(Table810[[#This Row],[EAR Total Capacity]])</f>
        <v>1</v>
      </c>
      <c r="X136" s="12" t="b">
        <f>IF(Table810[[#This Row],[Has  Storage for Full Averaging Period?]]="OK",TRUE,FALSE)</f>
        <v>0</v>
      </c>
      <c r="Y136" s="12" t="b">
        <f>IFERROR(IF(YEAR(Table810[[#This Row],[RISE Storage End Date]])=2025,TRUE,FALSE),FALSE)</f>
        <v>0</v>
      </c>
      <c r="Z136" s="11" t="b">
        <v>0</v>
      </c>
      <c r="AA136" s="13">
        <v>115</v>
      </c>
      <c r="AB136" s="13" t="s">
        <v>76</v>
      </c>
      <c r="AC136" s="13" t="s">
        <v>737</v>
      </c>
      <c r="AD136" s="13" t="s">
        <v>734</v>
      </c>
      <c r="AE136" s="13" t="s">
        <v>78</v>
      </c>
      <c r="AF136" s="13" t="s">
        <v>738</v>
      </c>
      <c r="AG136" s="13" t="s">
        <v>109</v>
      </c>
      <c r="AH136" s="13" t="s">
        <v>92</v>
      </c>
      <c r="AI136" s="13" t="s">
        <v>93</v>
      </c>
      <c r="AJ136" s="14">
        <v>72958</v>
      </c>
      <c r="AK136" s="18"/>
      <c r="AL136" s="18"/>
      <c r="AM136" s="13" t="s">
        <v>739</v>
      </c>
      <c r="AN136" s="13" t="s">
        <v>95</v>
      </c>
      <c r="AO136" s="11" t="s">
        <v>734</v>
      </c>
      <c r="AP136" s="11" t="s">
        <v>734</v>
      </c>
      <c r="AQ136" s="21" t="s">
        <v>136</v>
      </c>
      <c r="AR136" s="25"/>
      <c r="AS136" s="25"/>
      <c r="AT136" s="25"/>
      <c r="AU136" s="25"/>
      <c r="AV136" s="25"/>
      <c r="AW136" s="25"/>
      <c r="AX136" s="24"/>
    </row>
    <row r="137" spans="1:50" ht="16.5" customHeight="1">
      <c r="A137" s="36" t="s">
        <v>740</v>
      </c>
      <c r="B137" s="28" t="s">
        <v>68</v>
      </c>
      <c r="C137" s="29" t="s">
        <v>321</v>
      </c>
      <c r="D137" s="29"/>
      <c r="E137" s="28" t="s">
        <v>70</v>
      </c>
      <c r="F137" s="28">
        <v>429</v>
      </c>
      <c r="G137" s="28">
        <v>3</v>
      </c>
      <c r="H137" s="29" t="str">
        <f>IF(ISNUMBER(Table810[[#This Row],[Total Capacity]]),"USBR Enterprise Asset Registry",IF(Table810[[#This Row],[Total Capacity]]="",""))</f>
        <v>USBR Enterprise Asset Registry</v>
      </c>
      <c r="I137" s="28" t="s">
        <v>57</v>
      </c>
      <c r="J137" s="28" t="s">
        <v>72</v>
      </c>
      <c r="K137" s="33"/>
      <c r="L137" s="50">
        <v>2783</v>
      </c>
      <c r="M137" s="48"/>
      <c r="N137" s="50">
        <v>2783</v>
      </c>
      <c r="O137" s="28"/>
      <c r="P137" s="38" t="s">
        <v>741</v>
      </c>
      <c r="Q137" s="29">
        <f>IF(OR(Table810[[#This Row],[Post-Review Decision]]="Include", Table810[[#This Row],[Post-Review Decision]]="Include if possible", Table810[[#This Row],[Post-Review Decision]]="Include (Omit % Avg if needed)",  Table810[[#This Row],[Post-Review Decision]]="Include (Omit % Avg)"),Table810[[#This Row],[EAR Total Capacity]],"")</f>
        <v>2783</v>
      </c>
      <c r="R137" s="29">
        <v>2470</v>
      </c>
      <c r="S137" s="46">
        <v>2470</v>
      </c>
      <c r="T137" s="29" t="s">
        <v>742</v>
      </c>
      <c r="U137" s="29" t="s">
        <v>743</v>
      </c>
      <c r="V137" s="13" t="s">
        <v>264</v>
      </c>
      <c r="W137" s="12" t="b">
        <f>ISNUMBER(Table810[[#This Row],[EAR Total Capacity]])</f>
        <v>1</v>
      </c>
      <c r="X137" s="12" t="b">
        <f>IF(Table810[[#This Row],[Has  Storage for Full Averaging Period?]]="OK",TRUE,FALSE)</f>
        <v>0</v>
      </c>
      <c r="Y137" s="12" t="b">
        <f>IFERROR(IF(YEAR(Table810[[#This Row],[RISE Storage End Date]])=2025,TRUE,FALSE),FALSE)</f>
        <v>1</v>
      </c>
      <c r="Z137" s="11" t="b">
        <v>0</v>
      </c>
      <c r="AA137" s="13">
        <v>215</v>
      </c>
      <c r="AB137" s="13" t="s">
        <v>76</v>
      </c>
      <c r="AC137" s="13" t="s">
        <v>744</v>
      </c>
      <c r="AD137" s="13" t="s">
        <v>740</v>
      </c>
      <c r="AE137" s="13" t="s">
        <v>78</v>
      </c>
      <c r="AF137" s="13" t="s">
        <v>745</v>
      </c>
      <c r="AG137" s="13" t="s">
        <v>91</v>
      </c>
      <c r="AH137" s="13" t="s">
        <v>92</v>
      </c>
      <c r="AI137" s="13" t="s">
        <v>110</v>
      </c>
      <c r="AJ137" s="13">
        <v>2783</v>
      </c>
      <c r="AK137" s="18"/>
      <c r="AL137" s="18"/>
      <c r="AM137" s="13" t="s">
        <v>746</v>
      </c>
      <c r="AN137" s="13" t="s">
        <v>95</v>
      </c>
      <c r="AO137" s="13" t="s">
        <v>740</v>
      </c>
      <c r="AP137" s="13" t="s">
        <v>747</v>
      </c>
      <c r="AQ137" s="21" t="s">
        <v>64</v>
      </c>
      <c r="AR137" s="26">
        <v>34666</v>
      </c>
      <c r="AS137" s="26">
        <v>46007</v>
      </c>
      <c r="AT137" s="25">
        <v>11238</v>
      </c>
      <c r="AU137" s="25" t="s">
        <v>66</v>
      </c>
      <c r="AV137" s="25" t="s">
        <v>65</v>
      </c>
      <c r="AW137" s="25" t="s">
        <v>66</v>
      </c>
      <c r="AX137" s="24"/>
    </row>
    <row r="138" spans="1:50" ht="16.5" customHeight="1">
      <c r="A138" s="36" t="s">
        <v>748</v>
      </c>
      <c r="B138" s="28"/>
      <c r="C138" s="28" t="s">
        <v>97</v>
      </c>
      <c r="D138" s="28"/>
      <c r="E138" s="28"/>
      <c r="F138" s="28" t="s">
        <v>61</v>
      </c>
      <c r="G138" s="28"/>
      <c r="H138" s="28" t="str">
        <f>IF(ISNUMBER(Table810[[#This Row],[Total Capacity]]),"USBR Enterprise Asset Registry",IF(Table810[[#This Row],[Total Capacity]]="",""))</f>
        <v/>
      </c>
      <c r="I138" s="28"/>
      <c r="J138" s="28"/>
      <c r="K138" s="28"/>
      <c r="L138" s="50" t="s">
        <v>98</v>
      </c>
      <c r="M138" s="48"/>
      <c r="N138" s="50" t="s">
        <v>98</v>
      </c>
      <c r="O138" s="28"/>
      <c r="P138" s="37"/>
      <c r="Q138" s="28" t="str">
        <f>IF(OR(Table810[[#This Row],[Post-Review Decision]]="Include", Table810[[#This Row],[Post-Review Decision]]="Include if possible", Table810[[#This Row],[Post-Review Decision]]="Include (Omit % Avg if needed)",  Table810[[#This Row],[Post-Review Decision]]="Include (Omit % Avg)"),Table810[[#This Row],[EAR Total Capacity]],"")</f>
        <v/>
      </c>
      <c r="R138" s="28"/>
      <c r="S138" s="45">
        <v>0</v>
      </c>
      <c r="T138" s="28"/>
      <c r="U138" s="28"/>
      <c r="V138" s="13" t="s">
        <v>156</v>
      </c>
      <c r="W138" s="12" t="b">
        <f>ISNUMBER(Table810[[#This Row],[EAR Total Capacity]])</f>
        <v>0</v>
      </c>
      <c r="X138" s="12" t="b">
        <f>IF(Table810[[#This Row],[Has  Storage for Full Averaging Period?]]="OK",TRUE,FALSE)</f>
        <v>0</v>
      </c>
      <c r="Y138" s="12" t="b">
        <f>IFERROR(IF(YEAR(Table810[[#This Row],[RISE Storage End Date]])=2025,TRUE,FALSE),FALSE)</f>
        <v>0</v>
      </c>
      <c r="Z138" s="11" t="b">
        <v>0</v>
      </c>
      <c r="AA138" s="13">
        <v>842</v>
      </c>
      <c r="AB138" s="13" t="s">
        <v>76</v>
      </c>
      <c r="AC138" s="13" t="s">
        <v>749</v>
      </c>
      <c r="AD138" s="13" t="s">
        <v>748</v>
      </c>
      <c r="AE138" s="13" t="s">
        <v>78</v>
      </c>
      <c r="AF138" s="13" t="s">
        <v>750</v>
      </c>
      <c r="AG138" s="13" t="s">
        <v>159</v>
      </c>
      <c r="AH138" s="13" t="s">
        <v>160</v>
      </c>
      <c r="AI138" s="13"/>
      <c r="AJ138" s="13"/>
      <c r="AK138" s="15"/>
      <c r="AL138" s="15"/>
      <c r="AM138" s="15" t="s">
        <v>61</v>
      </c>
      <c r="AN138" s="15" t="s">
        <v>61</v>
      </c>
      <c r="AO138" s="15" t="s">
        <v>61</v>
      </c>
      <c r="AP138" s="15" t="s">
        <v>61</v>
      </c>
      <c r="AQ138" s="21" t="s">
        <v>136</v>
      </c>
      <c r="AR138" s="25"/>
      <c r="AS138" s="25"/>
      <c r="AT138" s="25"/>
      <c r="AU138" s="25"/>
      <c r="AV138" s="25"/>
      <c r="AW138" s="25"/>
      <c r="AX138" s="24"/>
    </row>
    <row r="139" spans="1:50" ht="16.5" customHeight="1">
      <c r="A139" s="36" t="s">
        <v>751</v>
      </c>
      <c r="B139" s="28"/>
      <c r="C139" s="28" t="s">
        <v>97</v>
      </c>
      <c r="D139" s="28"/>
      <c r="E139" s="28"/>
      <c r="F139" s="28" t="s">
        <v>61</v>
      </c>
      <c r="G139" s="28"/>
      <c r="H139" s="28" t="str">
        <f>IF(ISNUMBER(Table810[[#This Row],[Total Capacity]]),"USBR Enterprise Asset Registry",IF(Table810[[#This Row],[Total Capacity]]="",""))</f>
        <v/>
      </c>
      <c r="I139" s="28"/>
      <c r="J139" s="28"/>
      <c r="K139" s="28"/>
      <c r="L139" s="50" t="s">
        <v>98</v>
      </c>
      <c r="M139" s="48"/>
      <c r="N139" s="50" t="s">
        <v>98</v>
      </c>
      <c r="O139" s="28"/>
      <c r="P139" s="37"/>
      <c r="Q139" s="28" t="str">
        <f>IF(OR(Table810[[#This Row],[Post-Review Decision]]="Include", Table810[[#This Row],[Post-Review Decision]]="Include if possible", Table810[[#This Row],[Post-Review Decision]]="Include (Omit % Avg if needed)",  Table810[[#This Row],[Post-Review Decision]]="Include (Omit % Avg)"),Table810[[#This Row],[EAR Total Capacity]],"")</f>
        <v/>
      </c>
      <c r="R139" s="28"/>
      <c r="S139" s="45">
        <v>0</v>
      </c>
      <c r="T139" s="28"/>
      <c r="U139" s="28"/>
      <c r="V139" s="13" t="s">
        <v>543</v>
      </c>
      <c r="W139" s="12" t="b">
        <f>ISNUMBER(Table810[[#This Row],[EAR Total Capacity]])</f>
        <v>0</v>
      </c>
      <c r="X139" s="12" t="b">
        <f>IF(Table810[[#This Row],[Has  Storage for Full Averaging Period?]]="OK",TRUE,FALSE)</f>
        <v>0</v>
      </c>
      <c r="Y139" s="12" t="b">
        <f>IFERROR(IF(YEAR(Table810[[#This Row],[RISE Storage End Date]])=2025,TRUE,FALSE),FALSE)</f>
        <v>0</v>
      </c>
      <c r="Z139" s="11" t="b">
        <v>0</v>
      </c>
      <c r="AA139" s="13">
        <v>116</v>
      </c>
      <c r="AB139" s="13" t="s">
        <v>76</v>
      </c>
      <c r="AC139" s="13" t="s">
        <v>752</v>
      </c>
      <c r="AD139" s="13" t="s">
        <v>751</v>
      </c>
      <c r="AE139" s="13" t="s">
        <v>101</v>
      </c>
      <c r="AF139" s="13" t="s">
        <v>753</v>
      </c>
      <c r="AG139" s="13" t="s">
        <v>80</v>
      </c>
      <c r="AH139" s="13" t="s">
        <v>81</v>
      </c>
      <c r="AI139" s="13" t="s">
        <v>103</v>
      </c>
      <c r="AJ139" s="14"/>
      <c r="AK139" s="15"/>
      <c r="AL139" s="15"/>
      <c r="AM139" s="15" t="s">
        <v>61</v>
      </c>
      <c r="AN139" s="15" t="s">
        <v>61</v>
      </c>
      <c r="AO139" s="15" t="s">
        <v>61</v>
      </c>
      <c r="AP139" s="15" t="s">
        <v>61</v>
      </c>
      <c r="AQ139" s="22"/>
      <c r="AR139" s="25"/>
      <c r="AS139" s="25"/>
      <c r="AT139" s="25"/>
      <c r="AU139" s="25"/>
      <c r="AV139" s="25"/>
      <c r="AW139" s="25"/>
      <c r="AX139" s="24"/>
    </row>
    <row r="140" spans="1:50" ht="16.5" customHeight="1">
      <c r="A140" s="36" t="s">
        <v>754</v>
      </c>
      <c r="B140" s="28"/>
      <c r="C140" s="28" t="s">
        <v>97</v>
      </c>
      <c r="D140" s="28"/>
      <c r="E140" s="28"/>
      <c r="F140" s="28" t="s">
        <v>61</v>
      </c>
      <c r="G140" s="28"/>
      <c r="H140" s="28" t="str">
        <f>IF(ISNUMBER(Table810[[#This Row],[Total Capacity]]),"USBR Enterprise Asset Registry",IF(Table810[[#This Row],[Total Capacity]]="",""))</f>
        <v/>
      </c>
      <c r="I140" s="28"/>
      <c r="J140" s="28"/>
      <c r="K140" s="28"/>
      <c r="L140" s="50" t="s">
        <v>98</v>
      </c>
      <c r="M140" s="48"/>
      <c r="N140" s="50" t="s">
        <v>98</v>
      </c>
      <c r="O140" s="28"/>
      <c r="P140" s="37"/>
      <c r="Q140" s="28" t="str">
        <f>IF(OR(Table810[[#This Row],[Post-Review Decision]]="Include", Table810[[#This Row],[Post-Review Decision]]="Include if possible", Table810[[#This Row],[Post-Review Decision]]="Include (Omit % Avg if needed)",  Table810[[#This Row],[Post-Review Decision]]="Include (Omit % Avg)"),Table810[[#This Row],[EAR Total Capacity]],"")</f>
        <v/>
      </c>
      <c r="R140" s="28"/>
      <c r="S140" s="45">
        <v>0</v>
      </c>
      <c r="T140" s="28"/>
      <c r="U140" s="28"/>
      <c r="V140" s="13" t="s">
        <v>755</v>
      </c>
      <c r="W140" s="12" t="b">
        <f>ISNUMBER(Table810[[#This Row],[EAR Total Capacity]])</f>
        <v>0</v>
      </c>
      <c r="X140" s="12" t="b">
        <f>IF(Table810[[#This Row],[Has  Storage for Full Averaging Period?]]="OK",TRUE,FALSE)</f>
        <v>0</v>
      </c>
      <c r="Y140" s="12" t="b">
        <f>IFERROR(IF(YEAR(Table810[[#This Row],[RISE Storage End Date]])=2025,TRUE,FALSE),FALSE)</f>
        <v>0</v>
      </c>
      <c r="Z140" s="11" t="b">
        <v>0</v>
      </c>
      <c r="AA140" s="13">
        <v>117</v>
      </c>
      <c r="AB140" s="13" t="s">
        <v>76</v>
      </c>
      <c r="AC140" s="13" t="s">
        <v>756</v>
      </c>
      <c r="AD140" s="13" t="s">
        <v>754</v>
      </c>
      <c r="AE140" s="13" t="s">
        <v>101</v>
      </c>
      <c r="AF140" s="13" t="s">
        <v>757</v>
      </c>
      <c r="AG140" s="13" t="s">
        <v>91</v>
      </c>
      <c r="AH140" s="13" t="s">
        <v>102</v>
      </c>
      <c r="AI140" s="13" t="s">
        <v>103</v>
      </c>
      <c r="AJ140" s="14"/>
      <c r="AK140" s="15"/>
      <c r="AL140" s="15"/>
      <c r="AM140" s="15" t="s">
        <v>61</v>
      </c>
      <c r="AN140" s="15" t="s">
        <v>61</v>
      </c>
      <c r="AO140" s="15" t="s">
        <v>61</v>
      </c>
      <c r="AP140" s="15" t="s">
        <v>61</v>
      </c>
      <c r="AQ140" s="22"/>
      <c r="AR140" s="25"/>
      <c r="AS140" s="25"/>
      <c r="AT140" s="25"/>
      <c r="AU140" s="25"/>
      <c r="AV140" s="25"/>
      <c r="AW140" s="25"/>
      <c r="AX140" s="24"/>
    </row>
    <row r="141" spans="1:50" ht="16.5" customHeight="1">
      <c r="A141" s="36" t="s">
        <v>758</v>
      </c>
      <c r="B141" s="28" t="s">
        <v>68</v>
      </c>
      <c r="C141" s="28" t="s">
        <v>69</v>
      </c>
      <c r="D141" s="28"/>
      <c r="E141" s="28" t="s">
        <v>70</v>
      </c>
      <c r="F141" s="28">
        <v>7176</v>
      </c>
      <c r="G141" s="28">
        <v>3</v>
      </c>
      <c r="H141" s="28" t="str">
        <f>IF(ISNUMBER(Table810[[#This Row],[Total Capacity]]),"USBR Enterprise Asset Registry",IF(Table810[[#This Row],[Total Capacity]]="",""))</f>
        <v>USBR Enterprise Asset Registry</v>
      </c>
      <c r="I141" s="28" t="s">
        <v>71</v>
      </c>
      <c r="J141" s="28" t="s">
        <v>72</v>
      </c>
      <c r="K141" s="28"/>
      <c r="L141" s="50">
        <v>7836</v>
      </c>
      <c r="M141" s="48"/>
      <c r="N141" s="50">
        <v>7836</v>
      </c>
      <c r="O141" s="28"/>
      <c r="P141" s="37"/>
      <c r="Q141" s="28">
        <f>IF(OR(Table810[[#This Row],[Post-Review Decision]]="Include", Table810[[#This Row],[Post-Review Decision]]="Include if possible", Table810[[#This Row],[Post-Review Decision]]="Include (Omit % Avg if needed)",  Table810[[#This Row],[Post-Review Decision]]="Include (Omit % Avg)"),Table810[[#This Row],[EAR Total Capacity]],"")</f>
        <v>7836</v>
      </c>
      <c r="R141" s="28">
        <v>7836</v>
      </c>
      <c r="S141" s="46">
        <v>7836</v>
      </c>
      <c r="T141" s="28" t="s">
        <v>759</v>
      </c>
      <c r="U141" s="28" t="s">
        <v>760</v>
      </c>
      <c r="V141" s="13" t="s">
        <v>74</v>
      </c>
      <c r="W141" s="12" t="b">
        <f>ISNUMBER(Table810[[#This Row],[EAR Total Capacity]])</f>
        <v>1</v>
      </c>
      <c r="X141" s="12" t="s">
        <v>75</v>
      </c>
      <c r="Y141" s="12" t="b">
        <f>IFERROR(IF(YEAR(Table810[[#This Row],[RISE Storage End Date]])=2025,TRUE,FALSE),FALSE)</f>
        <v>0</v>
      </c>
      <c r="Z141" s="11" t="b">
        <v>0</v>
      </c>
      <c r="AA141" s="13">
        <v>118</v>
      </c>
      <c r="AB141" s="13" t="s">
        <v>76</v>
      </c>
      <c r="AC141" s="13" t="s">
        <v>759</v>
      </c>
      <c r="AD141" s="13" t="s">
        <v>758</v>
      </c>
      <c r="AE141" s="13" t="s">
        <v>78</v>
      </c>
      <c r="AF141" s="13" t="s">
        <v>761</v>
      </c>
      <c r="AG141" s="13" t="s">
        <v>80</v>
      </c>
      <c r="AH141" s="13" t="s">
        <v>81</v>
      </c>
      <c r="AI141" s="13" t="s">
        <v>93</v>
      </c>
      <c r="AJ141" s="19">
        <v>7836</v>
      </c>
      <c r="AK141" s="18"/>
      <c r="AL141" s="18"/>
      <c r="AM141" s="13" t="s">
        <v>762</v>
      </c>
      <c r="AN141" s="13" t="s">
        <v>84</v>
      </c>
      <c r="AO141" s="13" t="s">
        <v>758</v>
      </c>
      <c r="AP141" s="13" t="s">
        <v>759</v>
      </c>
      <c r="AQ141" s="21" t="s">
        <v>64</v>
      </c>
      <c r="AR141" s="25"/>
      <c r="AS141" s="25"/>
      <c r="AT141" s="25"/>
      <c r="AU141" s="25"/>
      <c r="AV141" s="25"/>
      <c r="AW141" s="25"/>
      <c r="AX141" s="24"/>
    </row>
    <row r="142" spans="1:50" ht="16.5" customHeight="1">
      <c r="A142" s="36" t="s">
        <v>763</v>
      </c>
      <c r="B142" s="28" t="s">
        <v>68</v>
      </c>
      <c r="C142" s="28" t="s">
        <v>86</v>
      </c>
      <c r="D142" s="28"/>
      <c r="E142" s="28" t="s">
        <v>70</v>
      </c>
      <c r="F142" s="28">
        <v>1535</v>
      </c>
      <c r="G142" s="28">
        <v>3</v>
      </c>
      <c r="H142" s="28" t="str">
        <f>IF(ISNUMBER(Table810[[#This Row],[Total Capacity]]),"USBR Enterprise Asset Registry",IF(Table810[[#This Row],[Total Capacity]]="",""))</f>
        <v>USBR Enterprise Asset Registry</v>
      </c>
      <c r="I142" s="28" t="s">
        <v>257</v>
      </c>
      <c r="J142" s="28" t="s">
        <v>72</v>
      </c>
      <c r="K142" s="33"/>
      <c r="L142" s="50">
        <v>3752000</v>
      </c>
      <c r="M142" s="48">
        <v>3671000</v>
      </c>
      <c r="N142" s="50">
        <v>3671000</v>
      </c>
      <c r="O142" s="28"/>
      <c r="P142" s="37"/>
      <c r="Q142" s="28">
        <f>IF(OR(Table810[[#This Row],[Post-Review Decision]]="Include", Table810[[#This Row],[Post-Review Decision]]="Include if possible", Table810[[#This Row],[Post-Review Decision]]="Include (Omit % Avg if needed)",  Table810[[#This Row],[Post-Review Decision]]="Include (Omit % Avg)"),Table810[[#This Row],[EAR Total Capacity]],"")</f>
        <v>3791700</v>
      </c>
      <c r="R142" s="28">
        <v>3515500</v>
      </c>
      <c r="S142" s="46">
        <v>3752000</v>
      </c>
      <c r="T142" s="28" t="s">
        <v>763</v>
      </c>
      <c r="U142" s="28" t="s">
        <v>764</v>
      </c>
      <c r="V142" s="13" t="s">
        <v>765</v>
      </c>
      <c r="W142" s="12" t="b">
        <f>ISNUMBER(Table810[[#This Row],[EAR Total Capacity]])</f>
        <v>1</v>
      </c>
      <c r="X142" s="12" t="b">
        <f>IF(Table810[[#This Row],[Has  Storage for Full Averaging Period?]]="OK",TRUE,FALSE)</f>
        <v>1</v>
      </c>
      <c r="Y142" s="12" t="b">
        <f>IFERROR(IF(YEAR(Table810[[#This Row],[RISE Storage End Date]])=2025,TRUE,FALSE),FALSE)</f>
        <v>1</v>
      </c>
      <c r="Z142" s="11" t="b">
        <v>0</v>
      </c>
      <c r="AA142" s="13">
        <v>119</v>
      </c>
      <c r="AB142" s="13" t="s">
        <v>76</v>
      </c>
      <c r="AC142" s="13" t="s">
        <v>766</v>
      </c>
      <c r="AD142" s="13" t="s">
        <v>763</v>
      </c>
      <c r="AE142" s="13" t="s">
        <v>78</v>
      </c>
      <c r="AF142" s="13" t="s">
        <v>767</v>
      </c>
      <c r="AG142" s="13" t="s">
        <v>91</v>
      </c>
      <c r="AH142" s="13" t="s">
        <v>102</v>
      </c>
      <c r="AI142" s="13" t="s">
        <v>93</v>
      </c>
      <c r="AJ142" s="14">
        <v>3791700</v>
      </c>
      <c r="AK142" s="18"/>
      <c r="AL142" s="18"/>
      <c r="AM142" s="13" t="s">
        <v>768</v>
      </c>
      <c r="AN142" s="13" t="s">
        <v>63</v>
      </c>
      <c r="AO142" s="13" t="s">
        <v>763</v>
      </c>
      <c r="AP142" s="13" t="s">
        <v>763</v>
      </c>
      <c r="AQ142" s="21" t="s">
        <v>64</v>
      </c>
      <c r="AR142" s="26">
        <v>22982</v>
      </c>
      <c r="AS142" s="26">
        <v>46007</v>
      </c>
      <c r="AT142" s="25">
        <v>23027</v>
      </c>
      <c r="AU142" s="25" t="s">
        <v>65</v>
      </c>
      <c r="AV142" s="25" t="s">
        <v>65</v>
      </c>
      <c r="AW142" s="25" t="s">
        <v>65</v>
      </c>
      <c r="AX142" s="24"/>
    </row>
    <row r="143" spans="1:50" ht="16.5" customHeight="1">
      <c r="A143" s="36" t="s">
        <v>769</v>
      </c>
      <c r="B143" s="28" t="s">
        <v>68</v>
      </c>
      <c r="C143" s="28" t="s">
        <v>321</v>
      </c>
      <c r="D143" s="28"/>
      <c r="E143" s="28" t="s">
        <v>70</v>
      </c>
      <c r="F143" s="28">
        <v>331</v>
      </c>
      <c r="G143" s="28">
        <v>3</v>
      </c>
      <c r="H143" s="28" t="str">
        <f>IF(ISNUMBER(Table810[[#This Row],[Total Capacity]]),"USBR Enterprise Asset Registry",IF(Table810[[#This Row],[Total Capacity]]="",""))</f>
        <v>USBR Enterprise Asset Registry</v>
      </c>
      <c r="I143" s="28" t="s">
        <v>57</v>
      </c>
      <c r="J143" s="28" t="s">
        <v>72</v>
      </c>
      <c r="K143" s="28"/>
      <c r="L143" s="50">
        <v>730</v>
      </c>
      <c r="M143" s="48"/>
      <c r="N143" s="50">
        <v>730</v>
      </c>
      <c r="O143" s="28"/>
      <c r="P143" s="37"/>
      <c r="Q143" s="28">
        <f>IF(OR(Table810[[#This Row],[Post-Review Decision]]="Include", Table810[[#This Row],[Post-Review Decision]]="Include if possible", Table810[[#This Row],[Post-Review Decision]]="Include (Omit % Avg if needed)",  Table810[[#This Row],[Post-Review Decision]]="Include (Omit % Avg)"),Table810[[#This Row],[EAR Total Capacity]],"")</f>
        <v>730</v>
      </c>
      <c r="R143" s="28">
        <v>418</v>
      </c>
      <c r="S143" s="45">
        <v>600</v>
      </c>
      <c r="T143" s="28" t="s">
        <v>769</v>
      </c>
      <c r="U143" s="28" t="s">
        <v>770</v>
      </c>
      <c r="V143" s="13" t="s">
        <v>264</v>
      </c>
      <c r="W143" s="12" t="b">
        <f>ISNUMBER(Table810[[#This Row],[EAR Total Capacity]])</f>
        <v>1</v>
      </c>
      <c r="X143" s="12" t="b">
        <f>IF(Table810[[#This Row],[Has  Storage for Full Averaging Period?]]="OK",TRUE,FALSE)</f>
        <v>0</v>
      </c>
      <c r="Y143" s="12" t="b">
        <f>IFERROR(IF(YEAR(Table810[[#This Row],[RISE Storage End Date]])=2025,TRUE,FALSE),FALSE)</f>
        <v>1</v>
      </c>
      <c r="Z143" s="11" t="b">
        <v>0</v>
      </c>
      <c r="AA143" s="13">
        <v>120</v>
      </c>
      <c r="AB143" s="13" t="s">
        <v>76</v>
      </c>
      <c r="AC143" s="13" t="s">
        <v>771</v>
      </c>
      <c r="AD143" s="13" t="s">
        <v>769</v>
      </c>
      <c r="AE143" s="13" t="s">
        <v>78</v>
      </c>
      <c r="AF143" s="13" t="s">
        <v>772</v>
      </c>
      <c r="AG143" s="13" t="s">
        <v>91</v>
      </c>
      <c r="AH143" s="13" t="s">
        <v>92</v>
      </c>
      <c r="AI143" s="13" t="s">
        <v>110</v>
      </c>
      <c r="AJ143" s="14">
        <v>730</v>
      </c>
      <c r="AK143" s="18"/>
      <c r="AL143" s="18"/>
      <c r="AM143" s="13" t="s">
        <v>773</v>
      </c>
      <c r="AN143" s="13" t="s">
        <v>95</v>
      </c>
      <c r="AO143" s="13" t="s">
        <v>769</v>
      </c>
      <c r="AP143" s="13" t="s">
        <v>769</v>
      </c>
      <c r="AQ143" s="21" t="s">
        <v>64</v>
      </c>
      <c r="AR143" s="26">
        <v>37665</v>
      </c>
      <c r="AS143" s="26">
        <v>46007</v>
      </c>
      <c r="AT143" s="25">
        <v>8339</v>
      </c>
      <c r="AU143" s="25" t="s">
        <v>66</v>
      </c>
      <c r="AV143" s="25" t="s">
        <v>65</v>
      </c>
      <c r="AW143" s="25" t="s">
        <v>66</v>
      </c>
      <c r="AX143" s="24"/>
    </row>
    <row r="144" spans="1:50" ht="16.5" customHeight="1">
      <c r="A144" s="36" t="s">
        <v>774</v>
      </c>
      <c r="B144" s="28"/>
      <c r="C144" s="28" t="s">
        <v>97</v>
      </c>
      <c r="D144" s="28"/>
      <c r="E144" s="28"/>
      <c r="F144" s="28" t="s">
        <v>61</v>
      </c>
      <c r="G144" s="28"/>
      <c r="H144" s="28" t="str">
        <f>IF(ISNUMBER(Table810[[#This Row],[Total Capacity]]),"USBR Enterprise Asset Registry",IF(Table810[[#This Row],[Total Capacity]]="",""))</f>
        <v/>
      </c>
      <c r="I144" s="28"/>
      <c r="J144" s="28"/>
      <c r="K144" s="28"/>
      <c r="L144" s="50" t="s">
        <v>98</v>
      </c>
      <c r="M144" s="48"/>
      <c r="N144" s="50" t="s">
        <v>98</v>
      </c>
      <c r="O144" s="28"/>
      <c r="P144" s="37"/>
      <c r="Q144" s="28" t="str">
        <f>IF(OR(Table810[[#This Row],[Post-Review Decision]]="Include", Table810[[#This Row],[Post-Review Decision]]="Include if possible", Table810[[#This Row],[Post-Review Decision]]="Include (Omit % Avg if needed)",  Table810[[#This Row],[Post-Review Decision]]="Include (Omit % Avg)"),Table810[[#This Row],[EAR Total Capacity]],"")</f>
        <v/>
      </c>
      <c r="R144" s="28"/>
      <c r="S144" s="45">
        <v>0</v>
      </c>
      <c r="T144" s="28"/>
      <c r="U144" s="28"/>
      <c r="V144" s="13" t="s">
        <v>775</v>
      </c>
      <c r="W144" s="12" t="b">
        <f>ISNUMBER(Table810[[#This Row],[EAR Total Capacity]])</f>
        <v>0</v>
      </c>
      <c r="X144" s="12" t="b">
        <f>IF(Table810[[#This Row],[Has  Storage for Full Averaging Period?]]="OK",TRUE,FALSE)</f>
        <v>0</v>
      </c>
      <c r="Y144" s="12" t="b">
        <f>IFERROR(IF(YEAR(Table810[[#This Row],[RISE Storage End Date]])=2025,TRUE,FALSE),FALSE)</f>
        <v>0</v>
      </c>
      <c r="Z144" s="11" t="b">
        <v>0</v>
      </c>
      <c r="AA144" s="13">
        <v>121</v>
      </c>
      <c r="AB144" s="13" t="s">
        <v>76</v>
      </c>
      <c r="AC144" s="13" t="s">
        <v>776</v>
      </c>
      <c r="AD144" s="13" t="s">
        <v>774</v>
      </c>
      <c r="AE144" s="13" t="s">
        <v>101</v>
      </c>
      <c r="AF144" s="13" t="s">
        <v>777</v>
      </c>
      <c r="AG144" s="13" t="s">
        <v>91</v>
      </c>
      <c r="AH144" s="13" t="s">
        <v>102</v>
      </c>
      <c r="AI144" s="13" t="s">
        <v>103</v>
      </c>
      <c r="AJ144" s="14"/>
      <c r="AK144" s="15"/>
      <c r="AL144" s="15"/>
      <c r="AM144" s="15" t="s">
        <v>61</v>
      </c>
      <c r="AN144" s="15" t="s">
        <v>61</v>
      </c>
      <c r="AO144" s="15" t="s">
        <v>61</v>
      </c>
      <c r="AP144" s="15" t="s">
        <v>61</v>
      </c>
      <c r="AQ144" s="22"/>
      <c r="AR144" s="25"/>
      <c r="AS144" s="25"/>
      <c r="AT144" s="25"/>
      <c r="AU144" s="25"/>
      <c r="AV144" s="25"/>
      <c r="AW144" s="25"/>
      <c r="AX144" s="24"/>
    </row>
    <row r="145" spans="1:50" ht="16.5" customHeight="1">
      <c r="A145" s="36" t="s">
        <v>778</v>
      </c>
      <c r="B145" s="28" t="s">
        <v>68</v>
      </c>
      <c r="C145" s="28" t="s">
        <v>86</v>
      </c>
      <c r="D145" s="28"/>
      <c r="E145" s="28" t="s">
        <v>70</v>
      </c>
      <c r="F145" s="28">
        <v>334</v>
      </c>
      <c r="G145" s="28">
        <v>3</v>
      </c>
      <c r="H145" s="28" t="str">
        <f>IF(ISNUMBER(Table810[[#This Row],[Total Capacity]]),"USBR Enterprise Asset Registry",IF(Table810[[#This Row],[Total Capacity]]="",""))</f>
        <v>USBR Enterprise Asset Registry</v>
      </c>
      <c r="I145" s="28" t="s">
        <v>57</v>
      </c>
      <c r="J145" s="28"/>
      <c r="K145" s="28"/>
      <c r="L145" s="50">
        <v>977000</v>
      </c>
      <c r="M145" s="48">
        <v>967000</v>
      </c>
      <c r="N145" s="50">
        <v>967000</v>
      </c>
      <c r="O145" s="28"/>
      <c r="P145" s="37"/>
      <c r="Q145" s="28">
        <f>IF(OR(Table810[[#This Row],[Post-Review Decision]]="Include", Table810[[#This Row],[Post-Review Decision]]="Include if possible", Table810[[#This Row],[Post-Review Decision]]="Include (Omit % Avg if needed)",  Table810[[#This Row],[Post-Review Decision]]="Include (Omit % Avg)"),Table810[[#This Row],[EAR Total Capacity]],"")</f>
        <v>977000</v>
      </c>
      <c r="R145" s="28">
        <v>894000</v>
      </c>
      <c r="S145" s="46">
        <v>977000</v>
      </c>
      <c r="T145" s="28" t="s">
        <v>778</v>
      </c>
      <c r="U145" s="28" t="s">
        <v>779</v>
      </c>
      <c r="V145" s="13" t="s">
        <v>780</v>
      </c>
      <c r="W145" s="12" t="b">
        <f>ISNUMBER(Table810[[#This Row],[EAR Total Capacity]])</f>
        <v>1</v>
      </c>
      <c r="X145" s="12" t="b">
        <f>IF(Table810[[#This Row],[Has  Storage for Full Averaging Period?]]="OK",TRUE,FALSE)</f>
        <v>1</v>
      </c>
      <c r="Y145" s="12" t="b">
        <f>IFERROR(IF(YEAR(Table810[[#This Row],[RISE Storage End Date]])=2025,TRUE,FALSE),FALSE)</f>
        <v>1</v>
      </c>
      <c r="Z145" s="11" t="b">
        <v>0</v>
      </c>
      <c r="AA145" s="13">
        <v>122</v>
      </c>
      <c r="AB145" s="13" t="s">
        <v>76</v>
      </c>
      <c r="AC145" s="13" t="s">
        <v>781</v>
      </c>
      <c r="AD145" s="13" t="s">
        <v>778</v>
      </c>
      <c r="AE145" s="13" t="s">
        <v>78</v>
      </c>
      <c r="AF145" s="13" t="s">
        <v>782</v>
      </c>
      <c r="AG145" s="13" t="s">
        <v>159</v>
      </c>
      <c r="AH145" s="13" t="s">
        <v>160</v>
      </c>
      <c r="AI145" s="13" t="s">
        <v>93</v>
      </c>
      <c r="AJ145" s="14">
        <v>977000</v>
      </c>
      <c r="AK145" s="18"/>
      <c r="AL145" s="18"/>
      <c r="AM145" s="13" t="s">
        <v>783</v>
      </c>
      <c r="AN145" s="13" t="s">
        <v>246</v>
      </c>
      <c r="AO145" s="13" t="s">
        <v>778</v>
      </c>
      <c r="AP145" s="13" t="s">
        <v>778</v>
      </c>
      <c r="AQ145" s="21" t="s">
        <v>64</v>
      </c>
      <c r="AR145" s="26">
        <v>20149</v>
      </c>
      <c r="AS145" s="26">
        <v>46007</v>
      </c>
      <c r="AT145" s="25">
        <v>25129</v>
      </c>
      <c r="AU145" s="25" t="s">
        <v>65</v>
      </c>
      <c r="AV145" s="25" t="s">
        <v>65</v>
      </c>
      <c r="AW145" s="25" t="s">
        <v>65</v>
      </c>
      <c r="AX145" s="24"/>
    </row>
    <row r="146" spans="1:50" ht="16.5" customHeight="1">
      <c r="A146" s="36" t="s">
        <v>784</v>
      </c>
      <c r="B146" s="28" t="s">
        <v>68</v>
      </c>
      <c r="C146" s="28" t="s">
        <v>86</v>
      </c>
      <c r="D146" s="28"/>
      <c r="E146" s="28" t="s">
        <v>70</v>
      </c>
      <c r="F146" s="28">
        <v>1536</v>
      </c>
      <c r="G146" s="28">
        <v>3</v>
      </c>
      <c r="H146" s="28" t="str">
        <f>IF(ISNUMBER(Table810[[#This Row],[Total Capacity]]),"USBR Enterprise Asset Registry",IF(Table810[[#This Row],[Total Capacity]]="",""))</f>
        <v>USBR Enterprise Asset Registry</v>
      </c>
      <c r="I146" s="28" t="s">
        <v>257</v>
      </c>
      <c r="J146" s="28" t="s">
        <v>72</v>
      </c>
      <c r="K146" s="28"/>
      <c r="L146" s="50">
        <v>333899</v>
      </c>
      <c r="M146" s="48">
        <v>333956</v>
      </c>
      <c r="N146" s="50">
        <v>333956</v>
      </c>
      <c r="O146" s="28"/>
      <c r="P146" s="37"/>
      <c r="Q146" s="28">
        <f>IF(OR(Table810[[#This Row],[Post-Review Decision]]="Include", Table810[[#This Row],[Post-Review Decision]]="Include if possible", Table810[[#This Row],[Post-Review Decision]]="Include (Omit % Avg if needed)",  Table810[[#This Row],[Post-Review Decision]]="Include (Omit % Avg)"),Table810[[#This Row],[EAR Total Capacity]],"")</f>
        <v>334459</v>
      </c>
      <c r="R146" s="28">
        <v>264244</v>
      </c>
      <c r="S146" s="46">
        <v>333899</v>
      </c>
      <c r="T146" s="28" t="s">
        <v>784</v>
      </c>
      <c r="U146" s="28" t="s">
        <v>785</v>
      </c>
      <c r="V146" s="13" t="s">
        <v>786</v>
      </c>
      <c r="W146" s="12" t="b">
        <f>ISNUMBER(Table810[[#This Row],[EAR Total Capacity]])</f>
        <v>1</v>
      </c>
      <c r="X146" s="12" t="b">
        <f>IF(Table810[[#This Row],[Has  Storage for Full Averaging Period?]]="OK",TRUE,FALSE)</f>
        <v>1</v>
      </c>
      <c r="Y146" s="12" t="b">
        <f>IFERROR(IF(YEAR(Table810[[#This Row],[RISE Storage End Date]])=2025,TRUE,FALSE),FALSE)</f>
        <v>1</v>
      </c>
      <c r="Z146" s="11" t="b">
        <v>0</v>
      </c>
      <c r="AA146" s="13">
        <v>123</v>
      </c>
      <c r="AB146" s="13" t="s">
        <v>76</v>
      </c>
      <c r="AC146" s="13" t="s">
        <v>787</v>
      </c>
      <c r="AD146" s="13" t="s">
        <v>784</v>
      </c>
      <c r="AE146" s="13" t="s">
        <v>78</v>
      </c>
      <c r="AF146" s="13" t="s">
        <v>788</v>
      </c>
      <c r="AG146" s="13" t="s">
        <v>91</v>
      </c>
      <c r="AH146" s="13" t="s">
        <v>102</v>
      </c>
      <c r="AI146" s="13" t="s">
        <v>93</v>
      </c>
      <c r="AJ146" s="13">
        <v>334459</v>
      </c>
      <c r="AK146" s="18"/>
      <c r="AL146" s="18"/>
      <c r="AM146" s="13" t="s">
        <v>789</v>
      </c>
      <c r="AN146" s="13" t="s">
        <v>63</v>
      </c>
      <c r="AO146" s="13" t="s">
        <v>784</v>
      </c>
      <c r="AP146" s="13" t="s">
        <v>784</v>
      </c>
      <c r="AQ146" s="21" t="s">
        <v>64</v>
      </c>
      <c r="AR146" s="26">
        <v>24040</v>
      </c>
      <c r="AS146" s="26">
        <v>46007</v>
      </c>
      <c r="AT146" s="25">
        <v>21969</v>
      </c>
      <c r="AU146" s="25" t="s">
        <v>65</v>
      </c>
      <c r="AV146" s="25" t="s">
        <v>65</v>
      </c>
      <c r="AW146" s="25" t="s">
        <v>65</v>
      </c>
      <c r="AX146" s="24"/>
    </row>
    <row r="147" spans="1:50" ht="16.5" customHeight="1">
      <c r="A147" s="36" t="s">
        <v>790</v>
      </c>
      <c r="B147" s="28" t="s">
        <v>68</v>
      </c>
      <c r="C147" s="28" t="s">
        <v>52</v>
      </c>
      <c r="D147" s="28" t="s">
        <v>125</v>
      </c>
      <c r="E147" s="28" t="s">
        <v>126</v>
      </c>
      <c r="F147" s="28">
        <v>3657</v>
      </c>
      <c r="G147" s="28">
        <v>3</v>
      </c>
      <c r="H147" s="28" t="str">
        <f>IF(ISNUMBER(Table810[[#This Row],[Total Capacity]]),"USBR Enterprise Asset Registry",IF(Table810[[#This Row],[Total Capacity]]="",""))</f>
        <v>USBR Enterprise Asset Registry</v>
      </c>
      <c r="I147" s="28" t="s">
        <v>57</v>
      </c>
      <c r="J147" s="28" t="s">
        <v>127</v>
      </c>
      <c r="K147" s="33">
        <v>61755</v>
      </c>
      <c r="L147" s="50">
        <v>71696</v>
      </c>
      <c r="M147" s="48"/>
      <c r="N147" s="50">
        <v>71696</v>
      </c>
      <c r="O147" s="28"/>
      <c r="P147" s="37" t="s">
        <v>791</v>
      </c>
      <c r="Q147" s="28">
        <f>IF(OR(Table810[[#This Row],[Post-Review Decision]]="Include", Table810[[#This Row],[Post-Review Decision]]="Include if possible", Table810[[#This Row],[Post-Review Decision]]="Include (Omit % Avg if needed)",  Table810[[#This Row],[Post-Review Decision]]="Include (Omit % Avg)"),Table810[[#This Row],[EAR Total Capacity]],"")</f>
        <v>133451</v>
      </c>
      <c r="R147" s="28">
        <v>132436</v>
      </c>
      <c r="S147" s="46">
        <v>132436</v>
      </c>
      <c r="T147" s="28" t="s">
        <v>790</v>
      </c>
      <c r="U147" s="28" t="s">
        <v>792</v>
      </c>
      <c r="V147" s="13" t="s">
        <v>793</v>
      </c>
      <c r="W147" s="12" t="b">
        <f>ISNUMBER(Table810[[#This Row],[EAR Total Capacity]])</f>
        <v>1</v>
      </c>
      <c r="X147" s="12" t="b">
        <f>IF(Table810[[#This Row],[Has  Storage for Full Averaging Period?]]="OK",TRUE,FALSE)</f>
        <v>0</v>
      </c>
      <c r="Y147" s="12" t="b">
        <f>IFERROR(IF(YEAR(Table810[[#This Row],[RISE Storage End Date]])=2025,TRUE,FALSE),FALSE)</f>
        <v>0</v>
      </c>
      <c r="Z147" s="11" t="b">
        <v>0</v>
      </c>
      <c r="AA147" s="13">
        <v>124</v>
      </c>
      <c r="AB147" s="13" t="s">
        <v>76</v>
      </c>
      <c r="AC147" s="13" t="s">
        <v>794</v>
      </c>
      <c r="AD147" s="13" t="s">
        <v>790</v>
      </c>
      <c r="AE147" s="13" t="s">
        <v>78</v>
      </c>
      <c r="AF147" s="13" t="s">
        <v>795</v>
      </c>
      <c r="AG147" s="13" t="s">
        <v>133</v>
      </c>
      <c r="AH147" s="13" t="s">
        <v>92</v>
      </c>
      <c r="AI147" s="13" t="s">
        <v>93</v>
      </c>
      <c r="AJ147" s="14">
        <v>133451</v>
      </c>
      <c r="AK147" s="18"/>
      <c r="AL147" s="18"/>
      <c r="AM147" s="13" t="s">
        <v>796</v>
      </c>
      <c r="AN147" s="13" t="s">
        <v>135</v>
      </c>
      <c r="AO147" s="11" t="s">
        <v>790</v>
      </c>
      <c r="AP147" s="11" t="s">
        <v>790</v>
      </c>
      <c r="AQ147" s="21" t="s">
        <v>136</v>
      </c>
      <c r="AR147" s="25"/>
      <c r="AS147" s="25"/>
      <c r="AT147" s="25"/>
      <c r="AU147" s="25"/>
      <c r="AV147" s="25"/>
      <c r="AW147" s="25"/>
      <c r="AX147" s="24"/>
    </row>
    <row r="148" spans="1:50" ht="16.5" customHeight="1">
      <c r="A148" s="36" t="s">
        <v>797</v>
      </c>
      <c r="B148" s="33" t="s">
        <v>51</v>
      </c>
      <c r="C148" s="31" t="s">
        <v>52</v>
      </c>
      <c r="D148" s="28" t="s">
        <v>798</v>
      </c>
      <c r="E148" s="28" t="s">
        <v>799</v>
      </c>
      <c r="F148" s="28">
        <v>6885</v>
      </c>
      <c r="G148" s="28" t="s">
        <v>55</v>
      </c>
      <c r="H148" s="28" t="s">
        <v>800</v>
      </c>
      <c r="I148" s="28" t="s">
        <v>57</v>
      </c>
      <c r="J148" s="28"/>
      <c r="K148" s="28"/>
      <c r="L148" s="50" t="e">
        <v>#VALUE!</v>
      </c>
      <c r="M148" s="50">
        <v>18463000</v>
      </c>
      <c r="N148" s="50"/>
      <c r="O148" s="28"/>
      <c r="P148" s="40" t="s">
        <v>801</v>
      </c>
      <c r="Q148" s="33">
        <v>18463000</v>
      </c>
      <c r="R148" s="33"/>
      <c r="S148" s="45" t="s">
        <v>59</v>
      </c>
      <c r="T148" s="33" t="s">
        <v>797</v>
      </c>
      <c r="U148" s="33" t="s">
        <v>802</v>
      </c>
      <c r="V148" s="17" t="s">
        <v>61</v>
      </c>
      <c r="W148" s="12" t="b">
        <f>ISNUMBER(Table810[[#This Row],[EAR Total Capacity]])</f>
        <v>0</v>
      </c>
      <c r="X148" s="12" t="b">
        <f>IF(Table810[[#This Row],[Has  Storage for Full Averaging Period?]]="OK",TRUE,FALSE)</f>
        <v>0</v>
      </c>
      <c r="Y148" s="12" t="b">
        <f>IFERROR(IF(YEAR(Table810[[#This Row],[RISE Storage End Date]])=2025,TRUE,FALSE),FALSE)</f>
        <v>0</v>
      </c>
      <c r="Z148" s="11" t="b">
        <v>0</v>
      </c>
      <c r="AA148" s="16" t="s">
        <v>61</v>
      </c>
      <c r="AB148" s="17" t="s">
        <v>61</v>
      </c>
      <c r="AC148" s="17" t="s">
        <v>61</v>
      </c>
      <c r="AD148" s="17" t="s">
        <v>61</v>
      </c>
      <c r="AE148" s="17" t="s">
        <v>61</v>
      </c>
      <c r="AF148" s="17" t="s">
        <v>61</v>
      </c>
      <c r="AG148" s="17" t="s">
        <v>61</v>
      </c>
      <c r="AH148" s="17" t="s">
        <v>61</v>
      </c>
      <c r="AI148" s="17" t="s">
        <v>61</v>
      </c>
      <c r="AJ148" s="17" t="s">
        <v>61</v>
      </c>
      <c r="AK148" s="18"/>
      <c r="AL148" s="18"/>
      <c r="AM148" s="13" t="s">
        <v>803</v>
      </c>
      <c r="AN148" s="11" t="s">
        <v>95</v>
      </c>
      <c r="AO148" s="11" t="s">
        <v>797</v>
      </c>
      <c r="AP148" s="11" t="e">
        <v>#N/A</v>
      </c>
      <c r="AQ148" s="21" t="s">
        <v>136</v>
      </c>
      <c r="AR148" s="25"/>
      <c r="AS148" s="25"/>
      <c r="AT148" s="25"/>
      <c r="AU148" s="25"/>
      <c r="AV148" s="25"/>
      <c r="AW148" s="25"/>
      <c r="AX148" s="23"/>
    </row>
    <row r="149" spans="1:50" ht="16.5" customHeight="1">
      <c r="A149" s="36" t="s">
        <v>804</v>
      </c>
      <c r="B149" s="28"/>
      <c r="C149" s="28" t="s">
        <v>97</v>
      </c>
      <c r="D149" s="28"/>
      <c r="E149" s="28" t="s">
        <v>805</v>
      </c>
      <c r="F149" s="28" t="s">
        <v>61</v>
      </c>
      <c r="G149" s="28"/>
      <c r="H149" s="28" t="str">
        <f>IF(ISNUMBER(Table810[[#This Row],[Total Capacity]]),"USBR Enterprise Asset Registry",IF(Table810[[#This Row],[Total Capacity]]="",""))</f>
        <v/>
      </c>
      <c r="I149" s="28"/>
      <c r="J149" s="28"/>
      <c r="K149" s="28"/>
      <c r="L149" s="50" t="s">
        <v>98</v>
      </c>
      <c r="M149" s="48"/>
      <c r="N149" s="50" t="s">
        <v>98</v>
      </c>
      <c r="O149" s="28"/>
      <c r="P149" s="37"/>
      <c r="Q149" s="28" t="str">
        <f>IF(OR(Table810[[#This Row],[Post-Review Decision]]="Include", Table810[[#This Row],[Post-Review Decision]]="Include if possible", Table810[[#This Row],[Post-Review Decision]]="Include (Omit % Avg if needed)",  Table810[[#This Row],[Post-Review Decision]]="Include (Omit % Avg)"),Table810[[#This Row],[EAR Total Capacity]],"")</f>
        <v/>
      </c>
      <c r="R149" s="28"/>
      <c r="S149" s="45">
        <v>0</v>
      </c>
      <c r="T149" s="28"/>
      <c r="U149" s="28"/>
      <c r="V149" s="13" t="s">
        <v>648</v>
      </c>
      <c r="W149" s="12" t="b">
        <f>ISNUMBER(Table810[[#This Row],[EAR Total Capacity]])</f>
        <v>0</v>
      </c>
      <c r="X149" s="12" t="b">
        <f>IF(Table810[[#This Row],[Has  Storage for Full Averaging Period?]]="OK",TRUE,FALSE)</f>
        <v>0</v>
      </c>
      <c r="Y149" s="12" t="b">
        <f>IFERROR(IF(YEAR(Table810[[#This Row],[RISE Storage End Date]])=2025,TRUE,FALSE),FALSE)</f>
        <v>0</v>
      </c>
      <c r="Z149" s="11" t="b">
        <v>0</v>
      </c>
      <c r="AA149" s="13">
        <v>125</v>
      </c>
      <c r="AB149" s="13" t="s">
        <v>76</v>
      </c>
      <c r="AC149" s="13" t="s">
        <v>806</v>
      </c>
      <c r="AD149" s="13" t="s">
        <v>804</v>
      </c>
      <c r="AE149" s="13" t="s">
        <v>101</v>
      </c>
      <c r="AF149" s="13" t="s">
        <v>807</v>
      </c>
      <c r="AG149" s="13" t="s">
        <v>109</v>
      </c>
      <c r="AH149" s="13" t="s">
        <v>92</v>
      </c>
      <c r="AI149" s="13" t="s">
        <v>103</v>
      </c>
      <c r="AJ149" s="14"/>
      <c r="AK149" s="15"/>
      <c r="AL149" s="15"/>
      <c r="AM149" s="15" t="s">
        <v>61</v>
      </c>
      <c r="AN149" s="15" t="s">
        <v>61</v>
      </c>
      <c r="AO149" s="15" t="s">
        <v>61</v>
      </c>
      <c r="AP149" s="15" t="s">
        <v>61</v>
      </c>
      <c r="AQ149" s="22"/>
      <c r="AR149" s="25"/>
      <c r="AS149" s="25"/>
      <c r="AT149" s="25"/>
      <c r="AU149" s="25"/>
      <c r="AV149" s="25"/>
      <c r="AW149" s="25"/>
      <c r="AX149" s="24"/>
    </row>
    <row r="150" spans="1:50" ht="16.5" customHeight="1">
      <c r="A150" s="36" t="s">
        <v>808</v>
      </c>
      <c r="B150" s="28"/>
      <c r="C150" s="28" t="s">
        <v>97</v>
      </c>
      <c r="D150" s="28"/>
      <c r="E150" s="28"/>
      <c r="F150" s="28" t="s">
        <v>61</v>
      </c>
      <c r="G150" s="28"/>
      <c r="H150" s="28" t="str">
        <f>IF(ISNUMBER(Table810[[#This Row],[Total Capacity]]),"USBR Enterprise Asset Registry",IF(Table810[[#This Row],[Total Capacity]]="",""))</f>
        <v/>
      </c>
      <c r="I150" s="28"/>
      <c r="J150" s="28"/>
      <c r="K150" s="28"/>
      <c r="L150" s="50" t="s">
        <v>98</v>
      </c>
      <c r="M150" s="48"/>
      <c r="N150" s="50" t="s">
        <v>98</v>
      </c>
      <c r="O150" s="28"/>
      <c r="P150" s="37"/>
      <c r="Q150" s="28" t="str">
        <f>IF(OR(Table810[[#This Row],[Post-Review Decision]]="Include", Table810[[#This Row],[Post-Review Decision]]="Include if possible", Table810[[#This Row],[Post-Review Decision]]="Include (Omit % Avg if needed)",  Table810[[#This Row],[Post-Review Decision]]="Include (Omit % Avg)"),Table810[[#This Row],[EAR Total Capacity]],"")</f>
        <v/>
      </c>
      <c r="R150" s="28"/>
      <c r="S150" s="45">
        <v>0</v>
      </c>
      <c r="T150" s="28"/>
      <c r="U150" s="28"/>
      <c r="V150" s="13" t="s">
        <v>270</v>
      </c>
      <c r="W150" s="12" t="b">
        <f>ISNUMBER(Table810[[#This Row],[EAR Total Capacity]])</f>
        <v>0</v>
      </c>
      <c r="X150" s="12" t="b">
        <f>IF(Table810[[#This Row],[Has  Storage for Full Averaging Period?]]="OK",TRUE,FALSE)</f>
        <v>0</v>
      </c>
      <c r="Y150" s="12" t="b">
        <f>IFERROR(IF(YEAR(Table810[[#This Row],[RISE Storage End Date]])=2025,TRUE,FALSE),FALSE)</f>
        <v>0</v>
      </c>
      <c r="Z150" s="11" t="b">
        <v>0</v>
      </c>
      <c r="AA150" s="13">
        <v>126</v>
      </c>
      <c r="AB150" s="13" t="s">
        <v>76</v>
      </c>
      <c r="AC150" s="13" t="s">
        <v>808</v>
      </c>
      <c r="AD150" s="13" t="s">
        <v>808</v>
      </c>
      <c r="AE150" s="13" t="s">
        <v>101</v>
      </c>
      <c r="AF150" s="13" t="s">
        <v>808</v>
      </c>
      <c r="AG150" s="13" t="s">
        <v>109</v>
      </c>
      <c r="AH150" s="13" t="s">
        <v>92</v>
      </c>
      <c r="AI150" s="13"/>
      <c r="AJ150" s="14"/>
      <c r="AK150" s="15"/>
      <c r="AL150" s="15"/>
      <c r="AM150" s="15" t="s">
        <v>61</v>
      </c>
      <c r="AN150" s="15" t="s">
        <v>61</v>
      </c>
      <c r="AO150" s="15" t="s">
        <v>61</v>
      </c>
      <c r="AP150" s="15" t="s">
        <v>61</v>
      </c>
      <c r="AQ150" s="22"/>
      <c r="AR150" s="25"/>
      <c r="AS150" s="25"/>
      <c r="AT150" s="25"/>
      <c r="AU150" s="25"/>
      <c r="AV150" s="25"/>
      <c r="AW150" s="25"/>
      <c r="AX150" s="24"/>
    </row>
    <row r="151" spans="1:50" ht="16.5" customHeight="1">
      <c r="A151" s="36" t="s">
        <v>809</v>
      </c>
      <c r="B151" s="28"/>
      <c r="C151" s="28" t="s">
        <v>97</v>
      </c>
      <c r="D151" s="28"/>
      <c r="E151" s="28"/>
      <c r="F151" s="28" t="s">
        <v>61</v>
      </c>
      <c r="G151" s="28"/>
      <c r="H151" s="28" t="str">
        <f>IF(ISNUMBER(Table810[[#This Row],[Total Capacity]]),"USBR Enterprise Asset Registry",IF(Table810[[#This Row],[Total Capacity]]="",""))</f>
        <v/>
      </c>
      <c r="I151" s="28"/>
      <c r="J151" s="28"/>
      <c r="K151" s="28"/>
      <c r="L151" s="50" t="s">
        <v>98</v>
      </c>
      <c r="M151" s="48"/>
      <c r="N151" s="50" t="s">
        <v>98</v>
      </c>
      <c r="O151" s="28"/>
      <c r="P151" s="37"/>
      <c r="Q151" s="28" t="str">
        <f>IF(OR(Table810[[#This Row],[Post-Review Decision]]="Include", Table810[[#This Row],[Post-Review Decision]]="Include if possible", Table810[[#This Row],[Post-Review Decision]]="Include (Omit % Avg if needed)",  Table810[[#This Row],[Post-Review Decision]]="Include (Omit % Avg)"),Table810[[#This Row],[EAR Total Capacity]],"")</f>
        <v/>
      </c>
      <c r="R151" s="28"/>
      <c r="S151" s="45">
        <v>0</v>
      </c>
      <c r="T151" s="28"/>
      <c r="U151" s="28"/>
      <c r="V151" s="13" t="s">
        <v>810</v>
      </c>
      <c r="W151" s="12" t="b">
        <f>ISNUMBER(Table810[[#This Row],[EAR Total Capacity]])</f>
        <v>1</v>
      </c>
      <c r="X151" s="12" t="b">
        <f>IF(Table810[[#This Row],[Has  Storage for Full Averaging Period?]]="OK",TRUE,FALSE)</f>
        <v>0</v>
      </c>
      <c r="Y151" s="12" t="b">
        <f>IFERROR(IF(YEAR(Table810[[#This Row],[RISE Storage End Date]])=2025,TRUE,FALSE),FALSE)</f>
        <v>0</v>
      </c>
      <c r="Z151" s="11" t="b">
        <v>0</v>
      </c>
      <c r="AA151" s="13">
        <v>127</v>
      </c>
      <c r="AB151" s="13" t="s">
        <v>76</v>
      </c>
      <c r="AC151" s="13" t="s">
        <v>811</v>
      </c>
      <c r="AD151" s="13" t="s">
        <v>809</v>
      </c>
      <c r="AE151" s="13" t="s">
        <v>101</v>
      </c>
      <c r="AF151" s="13" t="s">
        <v>812</v>
      </c>
      <c r="AG151" s="13" t="s">
        <v>91</v>
      </c>
      <c r="AH151" s="13" t="s">
        <v>102</v>
      </c>
      <c r="AI151" s="13" t="s">
        <v>103</v>
      </c>
      <c r="AJ151" s="14">
        <v>29</v>
      </c>
      <c r="AK151" s="15"/>
      <c r="AL151" s="15"/>
      <c r="AM151" s="15" t="s">
        <v>61</v>
      </c>
      <c r="AN151" s="15" t="s">
        <v>61</v>
      </c>
      <c r="AO151" s="15" t="s">
        <v>61</v>
      </c>
      <c r="AP151" s="15" t="s">
        <v>61</v>
      </c>
      <c r="AQ151" s="22"/>
      <c r="AR151" s="25"/>
      <c r="AS151" s="25"/>
      <c r="AT151" s="25"/>
      <c r="AU151" s="25"/>
      <c r="AV151" s="25"/>
      <c r="AW151" s="25"/>
      <c r="AX151" s="24"/>
    </row>
    <row r="152" spans="1:50" ht="16.5" customHeight="1">
      <c r="A152" s="36" t="s">
        <v>813</v>
      </c>
      <c r="B152" s="28"/>
      <c r="C152" s="28" t="s">
        <v>97</v>
      </c>
      <c r="D152" s="28"/>
      <c r="E152" s="28"/>
      <c r="F152" s="28" t="s">
        <v>61</v>
      </c>
      <c r="G152" s="28"/>
      <c r="H152" s="28" t="str">
        <f>IF(ISNUMBER(Table810[[#This Row],[Total Capacity]]),"USBR Enterprise Asset Registry",IF(Table810[[#This Row],[Total Capacity]]="",""))</f>
        <v/>
      </c>
      <c r="I152" s="28"/>
      <c r="J152" s="28"/>
      <c r="K152" s="28"/>
      <c r="L152" s="50" t="s">
        <v>98</v>
      </c>
      <c r="M152" s="48"/>
      <c r="N152" s="50" t="s">
        <v>98</v>
      </c>
      <c r="O152" s="28"/>
      <c r="P152" s="37"/>
      <c r="Q152" s="28" t="str">
        <f>IF(OR(Table810[[#This Row],[Post-Review Decision]]="Include", Table810[[#This Row],[Post-Review Decision]]="Include if possible", Table810[[#This Row],[Post-Review Decision]]="Include (Omit % Avg if needed)",  Table810[[#This Row],[Post-Review Decision]]="Include (Omit % Avg)"),Table810[[#This Row],[EAR Total Capacity]],"")</f>
        <v/>
      </c>
      <c r="R152" s="28"/>
      <c r="S152" s="45">
        <v>0</v>
      </c>
      <c r="T152" s="28"/>
      <c r="U152" s="28"/>
      <c r="V152" s="13" t="s">
        <v>814</v>
      </c>
      <c r="W152" s="12" t="b">
        <f>ISNUMBER(Table810[[#This Row],[EAR Total Capacity]])</f>
        <v>0</v>
      </c>
      <c r="X152" s="12" t="b">
        <f>IF(Table810[[#This Row],[Has  Storage for Full Averaging Period?]]="OK",TRUE,FALSE)</f>
        <v>0</v>
      </c>
      <c r="Y152" s="12" t="b">
        <f>IFERROR(IF(YEAR(Table810[[#This Row],[RISE Storage End Date]])=2025,TRUE,FALSE),FALSE)</f>
        <v>0</v>
      </c>
      <c r="Z152" s="11" t="b">
        <v>0</v>
      </c>
      <c r="AA152" s="13">
        <v>128</v>
      </c>
      <c r="AB152" s="13" t="s">
        <v>76</v>
      </c>
      <c r="AC152" s="13" t="s">
        <v>815</v>
      </c>
      <c r="AD152" s="13" t="s">
        <v>813</v>
      </c>
      <c r="AE152" s="13" t="s">
        <v>101</v>
      </c>
      <c r="AF152" s="13" t="s">
        <v>816</v>
      </c>
      <c r="AG152" s="13" t="s">
        <v>91</v>
      </c>
      <c r="AH152" s="13" t="s">
        <v>102</v>
      </c>
      <c r="AI152" s="13" t="s">
        <v>103</v>
      </c>
      <c r="AJ152" s="14"/>
      <c r="AK152" s="15"/>
      <c r="AL152" s="15"/>
      <c r="AM152" s="15" t="s">
        <v>61</v>
      </c>
      <c r="AN152" s="15" t="s">
        <v>61</v>
      </c>
      <c r="AO152" s="15" t="s">
        <v>61</v>
      </c>
      <c r="AP152" s="15" t="s">
        <v>61</v>
      </c>
      <c r="AQ152" s="22"/>
      <c r="AR152" s="25"/>
      <c r="AS152" s="25"/>
      <c r="AT152" s="25"/>
      <c r="AU152" s="25"/>
      <c r="AV152" s="25"/>
      <c r="AW152" s="25"/>
      <c r="AX152" s="24"/>
    </row>
    <row r="153" spans="1:50" ht="16.5" customHeight="1">
      <c r="A153" s="36" t="s">
        <v>817</v>
      </c>
      <c r="B153" s="28" t="s">
        <v>68</v>
      </c>
      <c r="C153" s="28" t="s">
        <v>52</v>
      </c>
      <c r="D153" s="28" t="s">
        <v>125</v>
      </c>
      <c r="E153" s="28" t="s">
        <v>126</v>
      </c>
      <c r="F153" s="28">
        <v>3658</v>
      </c>
      <c r="G153" s="28">
        <v>3</v>
      </c>
      <c r="H153" s="28" t="str">
        <f>IF(ISNUMBER(Table810[[#This Row],[Total Capacity]]),"USBR Enterprise Asset Registry",IF(Table810[[#This Row],[Total Capacity]]="",""))</f>
        <v>USBR Enterprise Asset Registry</v>
      </c>
      <c r="I153" s="28" t="s">
        <v>57</v>
      </c>
      <c r="J153" s="28" t="s">
        <v>127</v>
      </c>
      <c r="K153" s="33">
        <v>180571</v>
      </c>
      <c r="L153" s="50">
        <v>168732</v>
      </c>
      <c r="M153" s="48"/>
      <c r="N153" s="50">
        <v>168732</v>
      </c>
      <c r="O153" s="28"/>
      <c r="P153" s="37" t="s">
        <v>818</v>
      </c>
      <c r="Q153" s="28">
        <f>IF(OR(Table810[[#This Row],[Post-Review Decision]]="Include", Table810[[#This Row],[Post-Review Decision]]="Include if possible", Table810[[#This Row],[Post-Review Decision]]="Include (Omit % Avg if needed)",  Table810[[#This Row],[Post-Review Decision]]="Include (Omit % Avg)"),Table810[[#This Row],[EAR Total Capacity]],"")</f>
        <v>349303</v>
      </c>
      <c r="R153" s="28">
        <v>340435</v>
      </c>
      <c r="S153" s="46">
        <v>340435</v>
      </c>
      <c r="T153" s="28" t="s">
        <v>817</v>
      </c>
      <c r="U153" s="28" t="s">
        <v>819</v>
      </c>
      <c r="V153" s="13" t="s">
        <v>820</v>
      </c>
      <c r="W153" s="12" t="b">
        <f>ISNUMBER(Table810[[#This Row],[EAR Total Capacity]])</f>
        <v>1</v>
      </c>
      <c r="X153" s="12" t="b">
        <f>IF(Table810[[#This Row],[Has  Storage for Full Averaging Period?]]="OK",TRUE,FALSE)</f>
        <v>0</v>
      </c>
      <c r="Y153" s="12" t="b">
        <f>IFERROR(IF(YEAR(Table810[[#This Row],[RISE Storage End Date]])=2025,TRUE,FALSE),FALSE)</f>
        <v>0</v>
      </c>
      <c r="Z153" s="11" t="b">
        <v>0</v>
      </c>
      <c r="AA153" s="13">
        <v>129</v>
      </c>
      <c r="AB153" s="13" t="s">
        <v>76</v>
      </c>
      <c r="AC153" s="13" t="s">
        <v>821</v>
      </c>
      <c r="AD153" s="13" t="s">
        <v>817</v>
      </c>
      <c r="AE153" s="13" t="s">
        <v>78</v>
      </c>
      <c r="AF153" s="13" t="s">
        <v>822</v>
      </c>
      <c r="AG153" s="13" t="s">
        <v>133</v>
      </c>
      <c r="AH153" s="13" t="s">
        <v>92</v>
      </c>
      <c r="AI153" s="13" t="s">
        <v>93</v>
      </c>
      <c r="AJ153" s="14">
        <v>349303</v>
      </c>
      <c r="AK153" s="18"/>
      <c r="AL153" s="18"/>
      <c r="AM153" s="13" t="s">
        <v>823</v>
      </c>
      <c r="AN153" s="13" t="s">
        <v>135</v>
      </c>
      <c r="AO153" s="11" t="s">
        <v>817</v>
      </c>
      <c r="AP153" s="11" t="s">
        <v>817</v>
      </c>
      <c r="AQ153" s="21" t="s">
        <v>136</v>
      </c>
      <c r="AR153" s="25"/>
      <c r="AS153" s="25"/>
      <c r="AT153" s="25"/>
      <c r="AU153" s="25"/>
      <c r="AV153" s="25"/>
      <c r="AW153" s="25"/>
      <c r="AX153" s="24"/>
    </row>
    <row r="154" spans="1:50" ht="16.5" customHeight="1">
      <c r="A154" s="36" t="s">
        <v>824</v>
      </c>
      <c r="B154" s="28" t="s">
        <v>68</v>
      </c>
      <c r="C154" s="28" t="s">
        <v>69</v>
      </c>
      <c r="D154" s="28"/>
      <c r="E154" s="28" t="s">
        <v>70</v>
      </c>
      <c r="F154" s="28">
        <v>7177</v>
      </c>
      <c r="G154" s="28">
        <v>3</v>
      </c>
      <c r="H154" s="28" t="str">
        <f>IF(ISNUMBER(Table810[[#This Row],[Total Capacity]]),"USBR Enterprise Asset Registry",IF(Table810[[#This Row],[Total Capacity]]="",""))</f>
        <v>USBR Enterprise Asset Registry</v>
      </c>
      <c r="I154" s="28" t="s">
        <v>71</v>
      </c>
      <c r="J154" s="28"/>
      <c r="K154" s="33"/>
      <c r="L154" s="50">
        <v>15600</v>
      </c>
      <c r="M154" s="48"/>
      <c r="N154" s="50">
        <v>15600</v>
      </c>
      <c r="O154" s="28"/>
      <c r="P154" s="37"/>
      <c r="Q154" s="28">
        <f>IF(OR(Table810[[#This Row],[Post-Review Decision]]="Include", Table810[[#This Row],[Post-Review Decision]]="Include if possible", Table810[[#This Row],[Post-Review Decision]]="Include (Omit % Avg if needed)",  Table810[[#This Row],[Post-Review Decision]]="Include (Omit % Avg)"),Table810[[#This Row],[EAR Total Capacity]],"")</f>
        <v>15600</v>
      </c>
      <c r="R154" s="28">
        <v>15600</v>
      </c>
      <c r="S154" s="46">
        <v>15600</v>
      </c>
      <c r="T154" s="28" t="s">
        <v>825</v>
      </c>
      <c r="U154" s="28" t="s">
        <v>826</v>
      </c>
      <c r="V154" s="13" t="s">
        <v>827</v>
      </c>
      <c r="W154" s="12" t="b">
        <f>ISNUMBER(Table810[[#This Row],[EAR Total Capacity]])</f>
        <v>1</v>
      </c>
      <c r="X154" s="12" t="s">
        <v>75</v>
      </c>
      <c r="Y154" s="12" t="b">
        <f>IFERROR(IF(YEAR(Table810[[#This Row],[RISE Storage End Date]])=2025,TRUE,FALSE),FALSE)</f>
        <v>0</v>
      </c>
      <c r="Z154" s="11" t="b">
        <v>0</v>
      </c>
      <c r="AA154" s="13">
        <v>130</v>
      </c>
      <c r="AB154" s="13" t="s">
        <v>76</v>
      </c>
      <c r="AC154" s="13" t="s">
        <v>825</v>
      </c>
      <c r="AD154" s="13" t="s">
        <v>824</v>
      </c>
      <c r="AE154" s="13" t="s">
        <v>78</v>
      </c>
      <c r="AF154" s="13" t="s">
        <v>828</v>
      </c>
      <c r="AG154" s="13" t="s">
        <v>159</v>
      </c>
      <c r="AH154" s="13" t="s">
        <v>81</v>
      </c>
      <c r="AI154" s="13" t="s">
        <v>93</v>
      </c>
      <c r="AJ154" s="19">
        <v>15600</v>
      </c>
      <c r="AK154" s="18"/>
      <c r="AL154" s="18"/>
      <c r="AM154" s="13" t="s">
        <v>829</v>
      </c>
      <c r="AN154" s="13" t="s">
        <v>246</v>
      </c>
      <c r="AO154" s="13" t="s">
        <v>824</v>
      </c>
      <c r="AP154" s="13" t="s">
        <v>825</v>
      </c>
      <c r="AQ154" s="21" t="s">
        <v>64</v>
      </c>
      <c r="AR154" s="25"/>
      <c r="AS154" s="25"/>
      <c r="AT154" s="25"/>
      <c r="AU154" s="25"/>
      <c r="AV154" s="25"/>
      <c r="AW154" s="25"/>
      <c r="AX154" s="24"/>
    </row>
    <row r="155" spans="1:50" ht="16.5" customHeight="1">
      <c r="A155" s="36" t="s">
        <v>830</v>
      </c>
      <c r="B155" s="28"/>
      <c r="C155" s="28" t="s">
        <v>97</v>
      </c>
      <c r="D155" s="28"/>
      <c r="E155" s="28"/>
      <c r="F155" s="28" t="s">
        <v>61</v>
      </c>
      <c r="G155" s="28"/>
      <c r="H155" s="28" t="str">
        <f>IF(ISNUMBER(Table810[[#This Row],[Total Capacity]]),"USBR Enterprise Asset Registry",IF(Table810[[#This Row],[Total Capacity]]="",""))</f>
        <v/>
      </c>
      <c r="I155" s="28"/>
      <c r="J155" s="28"/>
      <c r="K155" s="28"/>
      <c r="L155" s="50" t="s">
        <v>98</v>
      </c>
      <c r="M155" s="48"/>
      <c r="N155" s="50" t="s">
        <v>98</v>
      </c>
      <c r="O155" s="28"/>
      <c r="P155" s="37"/>
      <c r="Q155" s="28" t="str">
        <f>IF(OR(Table810[[#This Row],[Post-Review Decision]]="Include", Table810[[#This Row],[Post-Review Decision]]="Include if possible", Table810[[#This Row],[Post-Review Decision]]="Include (Omit % Avg if needed)",  Table810[[#This Row],[Post-Review Decision]]="Include (Omit % Avg)"),Table810[[#This Row],[EAR Total Capacity]],"")</f>
        <v/>
      </c>
      <c r="R155" s="28"/>
      <c r="S155" s="45">
        <v>0</v>
      </c>
      <c r="T155" s="28"/>
      <c r="U155" s="28"/>
      <c r="V155" s="13" t="s">
        <v>831</v>
      </c>
      <c r="W155" s="12" t="b">
        <f>ISNUMBER(Table810[[#This Row],[EAR Total Capacity]])</f>
        <v>0</v>
      </c>
      <c r="X155" s="12" t="b">
        <f>IF(Table810[[#This Row],[Has  Storage for Full Averaging Period?]]="OK",TRUE,FALSE)</f>
        <v>0</v>
      </c>
      <c r="Y155" s="12" t="b">
        <f>IFERROR(IF(YEAR(Table810[[#This Row],[RISE Storage End Date]])=2025,TRUE,FALSE),FALSE)</f>
        <v>0</v>
      </c>
      <c r="Z155" s="11" t="b">
        <v>0</v>
      </c>
      <c r="AA155" s="13">
        <v>131</v>
      </c>
      <c r="AB155" s="13" t="s">
        <v>76</v>
      </c>
      <c r="AC155" s="13" t="s">
        <v>832</v>
      </c>
      <c r="AD155" s="13" t="s">
        <v>830</v>
      </c>
      <c r="AE155" s="13" t="s">
        <v>78</v>
      </c>
      <c r="AF155" s="13" t="s">
        <v>833</v>
      </c>
      <c r="AG155" s="13" t="s">
        <v>159</v>
      </c>
      <c r="AH155" s="13" t="s">
        <v>160</v>
      </c>
      <c r="AI155" s="13" t="s">
        <v>103</v>
      </c>
      <c r="AJ155" s="14"/>
      <c r="AK155" s="15"/>
      <c r="AL155" s="15"/>
      <c r="AM155" s="15" t="s">
        <v>61</v>
      </c>
      <c r="AN155" s="15" t="s">
        <v>61</v>
      </c>
      <c r="AO155" s="15" t="s">
        <v>61</v>
      </c>
      <c r="AP155" s="15" t="s">
        <v>61</v>
      </c>
      <c r="AQ155" s="21" t="s">
        <v>136</v>
      </c>
      <c r="AR155" s="25"/>
      <c r="AS155" s="25"/>
      <c r="AT155" s="25"/>
      <c r="AU155" s="25"/>
      <c r="AV155" s="25"/>
      <c r="AW155" s="25"/>
      <c r="AX155" s="24"/>
    </row>
    <row r="156" spans="1:50" ht="16.5" customHeight="1">
      <c r="A156" s="36" t="s">
        <v>834</v>
      </c>
      <c r="B156" s="28"/>
      <c r="C156" s="28" t="s">
        <v>97</v>
      </c>
      <c r="D156" s="28"/>
      <c r="E156" s="28"/>
      <c r="F156" s="28" t="s">
        <v>61</v>
      </c>
      <c r="G156" s="28"/>
      <c r="H156" s="28" t="str">
        <f>IF(ISNUMBER(Table810[[#This Row],[Total Capacity]]),"USBR Enterprise Asset Registry",IF(Table810[[#This Row],[Total Capacity]]="",""))</f>
        <v/>
      </c>
      <c r="I156" s="28"/>
      <c r="J156" s="28"/>
      <c r="K156" s="28"/>
      <c r="L156" s="50" t="s">
        <v>98</v>
      </c>
      <c r="M156" s="48"/>
      <c r="N156" s="50" t="s">
        <v>98</v>
      </c>
      <c r="O156" s="28"/>
      <c r="P156" s="37"/>
      <c r="Q156" s="28" t="str">
        <f>IF(OR(Table810[[#This Row],[Post-Review Decision]]="Include", Table810[[#This Row],[Post-Review Decision]]="Include if possible", Table810[[#This Row],[Post-Review Decision]]="Include (Omit % Avg if needed)",  Table810[[#This Row],[Post-Review Decision]]="Include (Omit % Avg)"),Table810[[#This Row],[EAR Total Capacity]],"")</f>
        <v/>
      </c>
      <c r="R156" s="28"/>
      <c r="S156" s="45">
        <v>0</v>
      </c>
      <c r="T156" s="28"/>
      <c r="U156" s="28"/>
      <c r="V156" s="13" t="s">
        <v>835</v>
      </c>
      <c r="W156" s="12" t="b">
        <f>ISNUMBER(Table810[[#This Row],[EAR Total Capacity]])</f>
        <v>0</v>
      </c>
      <c r="X156" s="12" t="b">
        <f>IF(Table810[[#This Row],[Has  Storage for Full Averaging Period?]]="OK",TRUE,FALSE)</f>
        <v>0</v>
      </c>
      <c r="Y156" s="12" t="b">
        <f>IFERROR(IF(YEAR(Table810[[#This Row],[RISE Storage End Date]])=2025,TRUE,FALSE),FALSE)</f>
        <v>0</v>
      </c>
      <c r="Z156" s="11" t="b">
        <v>0</v>
      </c>
      <c r="AA156" s="13">
        <v>844</v>
      </c>
      <c r="AB156" s="13" t="s">
        <v>76</v>
      </c>
      <c r="AC156" s="13" t="s">
        <v>836</v>
      </c>
      <c r="AD156" s="13" t="s">
        <v>834</v>
      </c>
      <c r="AE156" s="13" t="s">
        <v>78</v>
      </c>
      <c r="AF156" s="13" t="s">
        <v>837</v>
      </c>
      <c r="AG156" s="13" t="s">
        <v>91</v>
      </c>
      <c r="AH156" s="13" t="s">
        <v>102</v>
      </c>
      <c r="AI156" s="13"/>
      <c r="AJ156" s="13"/>
      <c r="AK156" s="15"/>
      <c r="AL156" s="15"/>
      <c r="AM156" s="15" t="s">
        <v>61</v>
      </c>
      <c r="AN156" s="15" t="s">
        <v>61</v>
      </c>
      <c r="AO156" s="15" t="s">
        <v>61</v>
      </c>
      <c r="AP156" s="15" t="s">
        <v>61</v>
      </c>
      <c r="AQ156" s="21" t="s">
        <v>136</v>
      </c>
      <c r="AR156" s="25"/>
      <c r="AS156" s="25"/>
      <c r="AT156" s="25"/>
      <c r="AU156" s="25"/>
      <c r="AV156" s="25"/>
      <c r="AW156" s="25"/>
      <c r="AX156" s="24"/>
    </row>
    <row r="157" spans="1:50" ht="16.5" customHeight="1">
      <c r="A157" s="36" t="s">
        <v>838</v>
      </c>
      <c r="B157" s="28" t="s">
        <v>68</v>
      </c>
      <c r="C157" s="28" t="s">
        <v>52</v>
      </c>
      <c r="D157" s="28" t="s">
        <v>798</v>
      </c>
      <c r="E157" s="28" t="s">
        <v>839</v>
      </c>
      <c r="F157" s="28">
        <v>3659</v>
      </c>
      <c r="G157" s="28" t="s">
        <v>55</v>
      </c>
      <c r="H157" s="28" t="str">
        <f>IF(ISNUMBER(Table810[[#This Row],[Total Capacity]]),"USBR Enterprise Asset Registry",IF(Table810[[#This Row],[Total Capacity]]="",""))</f>
        <v>USBR Enterprise Asset Registry</v>
      </c>
      <c r="I157" s="28" t="s">
        <v>57</v>
      </c>
      <c r="J157" s="28" t="s">
        <v>72</v>
      </c>
      <c r="K157" s="33"/>
      <c r="L157" s="50">
        <v>9715346</v>
      </c>
      <c r="M157" s="48"/>
      <c r="N157" s="50">
        <v>9715346</v>
      </c>
      <c r="O157" s="28"/>
      <c r="P157" s="37" t="s">
        <v>840</v>
      </c>
      <c r="Q157" s="28">
        <f>IF(OR(Table810[[#This Row],[Post-Review Decision]]="Include", Table810[[#This Row],[Post-Review Decision]]="Include if possible", Table810[[#This Row],[Post-Review Decision]]="Include (Omit % Avg if needed)",  Table810[[#This Row],[Post-Review Decision]]="Include (Omit % Avg)"),Table810[[#This Row],[EAR Total Capacity]],"")</f>
        <v>9715346</v>
      </c>
      <c r="R157" s="28">
        <v>5349560</v>
      </c>
      <c r="S157" s="46">
        <v>9405302</v>
      </c>
      <c r="T157" s="28" t="s">
        <v>841</v>
      </c>
      <c r="U157" s="28" t="s">
        <v>842</v>
      </c>
      <c r="V157" s="13" t="s">
        <v>206</v>
      </c>
      <c r="W157" s="12" t="b">
        <f>ISNUMBER(Table810[[#This Row],[EAR Total Capacity]])</f>
        <v>1</v>
      </c>
      <c r="X157" s="12" t="b">
        <f>IF(Table810[[#This Row],[Has  Storage for Full Averaging Period?]]="OK",TRUE,FALSE)</f>
        <v>0</v>
      </c>
      <c r="Y157" s="12" t="b">
        <f>IFERROR(IF(YEAR(Table810[[#This Row],[RISE Storage End Date]])=2025,TRUE,FALSE),FALSE)</f>
        <v>0</v>
      </c>
      <c r="Z157" s="11" t="b">
        <v>0</v>
      </c>
      <c r="AA157" s="13">
        <v>132</v>
      </c>
      <c r="AB157" s="13" t="s">
        <v>76</v>
      </c>
      <c r="AC157" s="13" t="s">
        <v>843</v>
      </c>
      <c r="AD157" s="13" t="s">
        <v>838</v>
      </c>
      <c r="AE157" s="13" t="s">
        <v>78</v>
      </c>
      <c r="AF157" s="13" t="s">
        <v>844</v>
      </c>
      <c r="AG157" s="13" t="s">
        <v>80</v>
      </c>
      <c r="AH157" s="13" t="s">
        <v>81</v>
      </c>
      <c r="AI157" s="13" t="s">
        <v>93</v>
      </c>
      <c r="AJ157" s="13">
        <v>9715346</v>
      </c>
      <c r="AK157" s="18"/>
      <c r="AL157" s="18"/>
      <c r="AM157" s="13" t="s">
        <v>845</v>
      </c>
      <c r="AN157" s="13" t="s">
        <v>84</v>
      </c>
      <c r="AO157" s="11" t="s">
        <v>838</v>
      </c>
      <c r="AP157" s="11" t="s">
        <v>846</v>
      </c>
      <c r="AQ157" s="21" t="s">
        <v>136</v>
      </c>
      <c r="AR157" s="25"/>
      <c r="AS157" s="25"/>
      <c r="AT157" s="25"/>
      <c r="AU157" s="25"/>
      <c r="AV157" s="25"/>
      <c r="AW157" s="25"/>
      <c r="AX157" s="24"/>
    </row>
    <row r="158" spans="1:50" ht="16.5" customHeight="1">
      <c r="A158" s="36" t="s">
        <v>847</v>
      </c>
      <c r="B158" s="28"/>
      <c r="C158" s="28" t="s">
        <v>97</v>
      </c>
      <c r="D158" s="28"/>
      <c r="E158" s="28"/>
      <c r="F158" s="28" t="s">
        <v>61</v>
      </c>
      <c r="G158" s="28"/>
      <c r="H158" s="28" t="str">
        <f>IF(ISNUMBER(Table810[[#This Row],[Total Capacity]]),"USBR Enterprise Asset Registry",IF(Table810[[#This Row],[Total Capacity]]="",""))</f>
        <v/>
      </c>
      <c r="I158" s="28"/>
      <c r="J158" s="28"/>
      <c r="K158" s="28"/>
      <c r="L158" s="50" t="s">
        <v>98</v>
      </c>
      <c r="M158" s="48"/>
      <c r="N158" s="50" t="s">
        <v>98</v>
      </c>
      <c r="O158" s="28"/>
      <c r="P158" s="37"/>
      <c r="Q158" s="28" t="str">
        <f>IF(OR(Table810[[#This Row],[Post-Review Decision]]="Include", Table810[[#This Row],[Post-Review Decision]]="Include if possible", Table810[[#This Row],[Post-Review Decision]]="Include (Omit % Avg if needed)",  Table810[[#This Row],[Post-Review Decision]]="Include (Omit % Avg)"),Table810[[#This Row],[EAR Total Capacity]],"")</f>
        <v/>
      </c>
      <c r="R158" s="28">
        <v>645</v>
      </c>
      <c r="S158" s="45">
        <v>670</v>
      </c>
      <c r="T158" s="28"/>
      <c r="U158" s="28"/>
      <c r="V158" s="13" t="s">
        <v>385</v>
      </c>
      <c r="W158" s="12" t="b">
        <f>ISNUMBER(Table810[[#This Row],[EAR Total Capacity]])</f>
        <v>1</v>
      </c>
      <c r="X158" s="12" t="b">
        <f>IF(Table810[[#This Row],[Has  Storage for Full Averaging Period?]]="OK",TRUE,FALSE)</f>
        <v>0</v>
      </c>
      <c r="Y158" s="12" t="b">
        <f>IFERROR(IF(YEAR(Table810[[#This Row],[RISE Storage End Date]])=2025,TRUE,FALSE),FALSE)</f>
        <v>0</v>
      </c>
      <c r="Z158" s="11" t="b">
        <v>0</v>
      </c>
      <c r="AA158" s="13">
        <v>133</v>
      </c>
      <c r="AB158" s="13" t="s">
        <v>76</v>
      </c>
      <c r="AC158" s="13" t="s">
        <v>848</v>
      </c>
      <c r="AD158" s="13" t="s">
        <v>847</v>
      </c>
      <c r="AE158" s="13" t="s">
        <v>78</v>
      </c>
      <c r="AF158" s="13" t="s">
        <v>849</v>
      </c>
      <c r="AG158" s="13" t="s">
        <v>80</v>
      </c>
      <c r="AH158" s="13" t="s">
        <v>81</v>
      </c>
      <c r="AI158" s="13" t="s">
        <v>82</v>
      </c>
      <c r="AJ158" s="14">
        <v>670</v>
      </c>
      <c r="AK158" s="15"/>
      <c r="AL158" s="15"/>
      <c r="AM158" s="15" t="s">
        <v>61</v>
      </c>
      <c r="AN158" s="15" t="s">
        <v>61</v>
      </c>
      <c r="AO158" s="15" t="s">
        <v>61</v>
      </c>
      <c r="AP158" s="15" t="s">
        <v>61</v>
      </c>
      <c r="AQ158" s="21" t="s">
        <v>136</v>
      </c>
      <c r="AR158" s="25"/>
      <c r="AS158" s="25"/>
      <c r="AT158" s="25"/>
      <c r="AU158" s="25"/>
      <c r="AV158" s="25"/>
      <c r="AW158" s="25"/>
      <c r="AX158" s="24"/>
    </row>
    <row r="159" spans="1:50" ht="16.5" customHeight="1">
      <c r="A159" s="36" t="s">
        <v>850</v>
      </c>
      <c r="B159" s="28"/>
      <c r="C159" s="28" t="s">
        <v>97</v>
      </c>
      <c r="D159" s="28"/>
      <c r="E159" s="28"/>
      <c r="F159" s="28" t="s">
        <v>61</v>
      </c>
      <c r="G159" s="28"/>
      <c r="H159" s="28" t="str">
        <f>IF(ISNUMBER(Table810[[#This Row],[Total Capacity]]),"USBR Enterprise Asset Registry",IF(Table810[[#This Row],[Total Capacity]]="",""))</f>
        <v/>
      </c>
      <c r="I159" s="28"/>
      <c r="J159" s="28"/>
      <c r="K159" s="28"/>
      <c r="L159" s="50" t="s">
        <v>98</v>
      </c>
      <c r="M159" s="48"/>
      <c r="N159" s="50" t="s">
        <v>98</v>
      </c>
      <c r="O159" s="28"/>
      <c r="P159" s="37"/>
      <c r="Q159" s="28" t="str">
        <f>IF(OR(Table810[[#This Row],[Post-Review Decision]]="Include", Table810[[#This Row],[Post-Review Decision]]="Include if possible", Table810[[#This Row],[Post-Review Decision]]="Include (Omit % Avg if needed)",  Table810[[#This Row],[Post-Review Decision]]="Include (Omit % Avg)"),Table810[[#This Row],[EAR Total Capacity]],"")</f>
        <v/>
      </c>
      <c r="R159" s="28"/>
      <c r="S159" s="45">
        <v>0</v>
      </c>
      <c r="T159" s="28"/>
      <c r="U159" s="28"/>
      <c r="V159" s="13" t="s">
        <v>851</v>
      </c>
      <c r="W159" s="12" t="b">
        <f>ISNUMBER(Table810[[#This Row],[EAR Total Capacity]])</f>
        <v>0</v>
      </c>
      <c r="X159" s="12" t="b">
        <f>IF(Table810[[#This Row],[Has  Storage for Full Averaging Period?]]="OK",TRUE,FALSE)</f>
        <v>0</v>
      </c>
      <c r="Y159" s="12" t="b">
        <f>IFERROR(IF(YEAR(Table810[[#This Row],[RISE Storage End Date]])=2025,TRUE,FALSE),FALSE)</f>
        <v>0</v>
      </c>
      <c r="Z159" s="11" t="b">
        <v>0</v>
      </c>
      <c r="AA159" s="13">
        <v>134</v>
      </c>
      <c r="AB159" s="13" t="s">
        <v>76</v>
      </c>
      <c r="AC159" s="13" t="s">
        <v>852</v>
      </c>
      <c r="AD159" s="13" t="s">
        <v>850</v>
      </c>
      <c r="AE159" s="13" t="s">
        <v>101</v>
      </c>
      <c r="AF159" s="13" t="s">
        <v>853</v>
      </c>
      <c r="AG159" s="13" t="s">
        <v>80</v>
      </c>
      <c r="AH159" s="13" t="s">
        <v>81</v>
      </c>
      <c r="AI159" s="13" t="s">
        <v>103</v>
      </c>
      <c r="AJ159" s="14"/>
      <c r="AK159" s="15"/>
      <c r="AL159" s="15"/>
      <c r="AM159" s="15" t="s">
        <v>61</v>
      </c>
      <c r="AN159" s="15" t="s">
        <v>61</v>
      </c>
      <c r="AO159" s="15" t="s">
        <v>61</v>
      </c>
      <c r="AP159" s="15" t="s">
        <v>61</v>
      </c>
      <c r="AQ159" s="22"/>
      <c r="AR159" s="25"/>
      <c r="AS159" s="25"/>
      <c r="AT159" s="25"/>
      <c r="AU159" s="25"/>
      <c r="AV159" s="25"/>
      <c r="AW159" s="25"/>
      <c r="AX159" s="24"/>
    </row>
    <row r="160" spans="1:50" ht="16.5" customHeight="1">
      <c r="A160" s="36" t="s">
        <v>854</v>
      </c>
      <c r="B160" s="28" t="s">
        <v>68</v>
      </c>
      <c r="C160" s="28" t="s">
        <v>86</v>
      </c>
      <c r="D160" s="28"/>
      <c r="E160" s="28" t="s">
        <v>70</v>
      </c>
      <c r="F160" s="28">
        <v>337</v>
      </c>
      <c r="G160" s="28">
        <v>3</v>
      </c>
      <c r="H160" s="28" t="str">
        <f>IF(ISNUMBER(Table810[[#This Row],[Total Capacity]]),"USBR Enterprise Asset Registry",IF(Table810[[#This Row],[Total Capacity]]="",""))</f>
        <v>USBR Enterprise Asset Registry</v>
      </c>
      <c r="I160" s="28" t="s">
        <v>57</v>
      </c>
      <c r="J160" s="28" t="s">
        <v>72</v>
      </c>
      <c r="K160" s="28"/>
      <c r="L160" s="50">
        <v>91746</v>
      </c>
      <c r="M160" s="48">
        <v>85375</v>
      </c>
      <c r="N160" s="50">
        <v>85375</v>
      </c>
      <c r="O160" s="28"/>
      <c r="P160" s="37"/>
      <c r="Q160" s="28">
        <f>IF(OR(Table810[[#This Row],[Post-Review Decision]]="Include", Table810[[#This Row],[Post-Review Decision]]="Include if possible", Table810[[#This Row],[Post-Review Decision]]="Include (Omit % Avg if needed)",  Table810[[#This Row],[Post-Review Decision]]="Include (Omit % Avg)"),Table810[[#This Row],[EAR Total Capacity]],"")</f>
        <v>91746</v>
      </c>
      <c r="R160" s="28">
        <v>91588</v>
      </c>
      <c r="S160" s="46">
        <v>91588</v>
      </c>
      <c r="T160" s="28" t="s">
        <v>854</v>
      </c>
      <c r="U160" s="28" t="s">
        <v>855</v>
      </c>
      <c r="V160" s="13" t="s">
        <v>656</v>
      </c>
      <c r="W160" s="12" t="b">
        <f>ISNUMBER(Table810[[#This Row],[EAR Total Capacity]])</f>
        <v>1</v>
      </c>
      <c r="X160" s="12" t="b">
        <f>IF(Table810[[#This Row],[Has  Storage for Full Averaging Period?]]="OK",TRUE,FALSE)</f>
        <v>1</v>
      </c>
      <c r="Y160" s="12" t="b">
        <f>IFERROR(IF(YEAR(Table810[[#This Row],[RISE Storage End Date]])=2025,TRUE,FALSE),FALSE)</f>
        <v>1</v>
      </c>
      <c r="Z160" s="11" t="b">
        <v>0</v>
      </c>
      <c r="AA160" s="13">
        <v>135</v>
      </c>
      <c r="AB160" s="13" t="s">
        <v>76</v>
      </c>
      <c r="AC160" s="13" t="s">
        <v>856</v>
      </c>
      <c r="AD160" s="13" t="s">
        <v>854</v>
      </c>
      <c r="AE160" s="13" t="s">
        <v>78</v>
      </c>
      <c r="AF160" s="13" t="s">
        <v>857</v>
      </c>
      <c r="AG160" s="13" t="s">
        <v>109</v>
      </c>
      <c r="AH160" s="13" t="s">
        <v>92</v>
      </c>
      <c r="AI160" s="13" t="s">
        <v>93</v>
      </c>
      <c r="AJ160" s="14">
        <v>91746</v>
      </c>
      <c r="AK160" s="18"/>
      <c r="AL160" s="18"/>
      <c r="AM160" s="13" t="s">
        <v>858</v>
      </c>
      <c r="AN160" s="13" t="s">
        <v>95</v>
      </c>
      <c r="AO160" s="13" t="s">
        <v>854</v>
      </c>
      <c r="AP160" s="13" t="s">
        <v>854</v>
      </c>
      <c r="AQ160" s="21" t="s">
        <v>64</v>
      </c>
      <c r="AR160" s="26">
        <v>17441</v>
      </c>
      <c r="AS160" s="26">
        <v>46007</v>
      </c>
      <c r="AT160" s="25">
        <v>28570</v>
      </c>
      <c r="AU160" s="25" t="s">
        <v>65</v>
      </c>
      <c r="AV160" s="25" t="s">
        <v>65</v>
      </c>
      <c r="AW160" s="25" t="s">
        <v>65</v>
      </c>
      <c r="AX160" s="24"/>
    </row>
    <row r="161" spans="1:50" ht="16.5" customHeight="1">
      <c r="A161" s="36" t="s">
        <v>859</v>
      </c>
      <c r="B161" s="28" t="s">
        <v>68</v>
      </c>
      <c r="C161" s="28" t="s">
        <v>86</v>
      </c>
      <c r="D161" s="28"/>
      <c r="E161" s="28" t="s">
        <v>70</v>
      </c>
      <c r="F161" s="28">
        <v>338</v>
      </c>
      <c r="G161" s="28">
        <v>3</v>
      </c>
      <c r="H161" s="28" t="str">
        <f>IF(ISNUMBER(Table810[[#This Row],[Total Capacity]]),"USBR Enterprise Asset Registry",IF(Table810[[#This Row],[Total Capacity]]="",""))</f>
        <v>USBR Enterprise Asset Registry</v>
      </c>
      <c r="I161" s="28" t="s">
        <v>57</v>
      </c>
      <c r="J161" s="28" t="s">
        <v>72</v>
      </c>
      <c r="K161" s="28"/>
      <c r="L161" s="50">
        <v>4030</v>
      </c>
      <c r="M161" s="48"/>
      <c r="N161" s="50">
        <v>4030</v>
      </c>
      <c r="O161" s="28"/>
      <c r="P161" s="37"/>
      <c r="Q161" s="28">
        <f>IF(OR(Table810[[#This Row],[Post-Review Decision]]="Include", Table810[[#This Row],[Post-Review Decision]]="Include if possible", Table810[[#This Row],[Post-Review Decision]]="Include (Omit % Avg if needed)",  Table810[[#This Row],[Post-Review Decision]]="Include (Omit % Avg)"),Table810[[#This Row],[EAR Total Capacity]],"")</f>
        <v>4030</v>
      </c>
      <c r="R161" s="28">
        <v>4025</v>
      </c>
      <c r="S161" s="46">
        <v>4025</v>
      </c>
      <c r="T161" s="28" t="s">
        <v>859</v>
      </c>
      <c r="U161" s="28" t="s">
        <v>860</v>
      </c>
      <c r="V161" s="13" t="s">
        <v>99</v>
      </c>
      <c r="W161" s="12" t="b">
        <f>ISNUMBER(Table810[[#This Row],[EAR Total Capacity]])</f>
        <v>1</v>
      </c>
      <c r="X161" s="12" t="b">
        <f>IF(Table810[[#This Row],[Has  Storage for Full Averaging Period?]]="OK",TRUE,FALSE)</f>
        <v>1</v>
      </c>
      <c r="Y161" s="12" t="b">
        <f>IFERROR(IF(YEAR(Table810[[#This Row],[RISE Storage End Date]])=2025,TRUE,FALSE),FALSE)</f>
        <v>1</v>
      </c>
      <c r="Z161" s="11" t="b">
        <v>0</v>
      </c>
      <c r="AA161" s="13">
        <v>136</v>
      </c>
      <c r="AB161" s="13" t="s">
        <v>76</v>
      </c>
      <c r="AC161" s="13" t="s">
        <v>861</v>
      </c>
      <c r="AD161" s="13" t="s">
        <v>859</v>
      </c>
      <c r="AE161" s="13" t="s">
        <v>78</v>
      </c>
      <c r="AF161" s="13" t="s">
        <v>862</v>
      </c>
      <c r="AG161" s="13" t="s">
        <v>91</v>
      </c>
      <c r="AH161" s="13" t="s">
        <v>102</v>
      </c>
      <c r="AI161" s="13" t="s">
        <v>82</v>
      </c>
      <c r="AJ161" s="14">
        <v>4030</v>
      </c>
      <c r="AK161" s="18"/>
      <c r="AL161" s="18"/>
      <c r="AM161" s="13" t="s">
        <v>863</v>
      </c>
      <c r="AN161" s="13" t="s">
        <v>63</v>
      </c>
      <c r="AO161" s="13" t="s">
        <v>859</v>
      </c>
      <c r="AP161" s="13" t="s">
        <v>859</v>
      </c>
      <c r="AQ161" s="21" t="s">
        <v>64</v>
      </c>
      <c r="AR161" s="26">
        <v>27358</v>
      </c>
      <c r="AS161" s="26">
        <v>46007</v>
      </c>
      <c r="AT161" s="25">
        <v>18651</v>
      </c>
      <c r="AU161" s="25" t="s">
        <v>65</v>
      </c>
      <c r="AV161" s="25" t="s">
        <v>65</v>
      </c>
      <c r="AW161" s="25" t="s">
        <v>65</v>
      </c>
      <c r="AX161" s="24"/>
    </row>
    <row r="162" spans="1:50" ht="16.5" customHeight="1">
      <c r="A162" s="36" t="s">
        <v>864</v>
      </c>
      <c r="B162" s="28"/>
      <c r="C162" s="28" t="s">
        <v>97</v>
      </c>
      <c r="D162" s="28"/>
      <c r="E162" s="28"/>
      <c r="F162" s="28" t="s">
        <v>61</v>
      </c>
      <c r="G162" s="28"/>
      <c r="H162" s="28" t="str">
        <f>IF(ISNUMBER(Table810[[#This Row],[Total Capacity]]),"USBR Enterprise Asset Registry",IF(Table810[[#This Row],[Total Capacity]]="",""))</f>
        <v/>
      </c>
      <c r="I162" s="28"/>
      <c r="J162" s="28"/>
      <c r="K162" s="28"/>
      <c r="L162" s="50" t="s">
        <v>98</v>
      </c>
      <c r="M162" s="48"/>
      <c r="N162" s="50" t="s">
        <v>98</v>
      </c>
      <c r="O162" s="28"/>
      <c r="P162" s="37"/>
      <c r="Q162" s="28" t="str">
        <f>IF(OR(Table810[[#This Row],[Post-Review Decision]]="Include", Table810[[#This Row],[Post-Review Decision]]="Include if possible", Table810[[#This Row],[Post-Review Decision]]="Include (Omit % Avg if needed)",  Table810[[#This Row],[Post-Review Decision]]="Include (Omit % Avg)"),Table810[[#This Row],[EAR Total Capacity]],"")</f>
        <v/>
      </c>
      <c r="R162" s="28"/>
      <c r="S162" s="45">
        <v>0</v>
      </c>
      <c r="T162" s="28"/>
      <c r="U162" s="28"/>
      <c r="V162" s="13" t="s">
        <v>442</v>
      </c>
      <c r="W162" s="12" t="b">
        <f>ISNUMBER(Table810[[#This Row],[EAR Total Capacity]])</f>
        <v>0</v>
      </c>
      <c r="X162" s="12" t="b">
        <f>IF(Table810[[#This Row],[Has  Storage for Full Averaging Period?]]="OK",TRUE,FALSE)</f>
        <v>0</v>
      </c>
      <c r="Y162" s="12" t="b">
        <f>IFERROR(IF(YEAR(Table810[[#This Row],[RISE Storage End Date]])=2025,TRUE,FALSE),FALSE)</f>
        <v>0</v>
      </c>
      <c r="Z162" s="11" t="b">
        <v>0</v>
      </c>
      <c r="AA162" s="13">
        <v>137</v>
      </c>
      <c r="AB162" s="13" t="s">
        <v>76</v>
      </c>
      <c r="AC162" s="13" t="s">
        <v>865</v>
      </c>
      <c r="AD162" s="13" t="s">
        <v>864</v>
      </c>
      <c r="AE162" s="13" t="s">
        <v>101</v>
      </c>
      <c r="AF162" s="13" t="s">
        <v>866</v>
      </c>
      <c r="AG162" s="13" t="s">
        <v>91</v>
      </c>
      <c r="AH162" s="13" t="s">
        <v>92</v>
      </c>
      <c r="AI162" s="13" t="s">
        <v>103</v>
      </c>
      <c r="AJ162" s="14"/>
      <c r="AK162" s="15"/>
      <c r="AL162" s="15"/>
      <c r="AM162" s="15" t="s">
        <v>61</v>
      </c>
      <c r="AN162" s="15" t="s">
        <v>61</v>
      </c>
      <c r="AO162" s="15" t="s">
        <v>61</v>
      </c>
      <c r="AP162" s="15" t="s">
        <v>61</v>
      </c>
      <c r="AQ162" s="22"/>
      <c r="AR162" s="25"/>
      <c r="AS162" s="25"/>
      <c r="AT162" s="25"/>
      <c r="AU162" s="25"/>
      <c r="AV162" s="25"/>
      <c r="AW162" s="25"/>
      <c r="AX162" s="24"/>
    </row>
    <row r="163" spans="1:50" ht="16.5" customHeight="1">
      <c r="A163" s="36" t="s">
        <v>867</v>
      </c>
      <c r="B163" s="28"/>
      <c r="C163" s="28" t="s">
        <v>97</v>
      </c>
      <c r="D163" s="28"/>
      <c r="E163" s="28"/>
      <c r="F163" s="28" t="s">
        <v>61</v>
      </c>
      <c r="G163" s="28"/>
      <c r="H163" s="28" t="str">
        <f>IF(ISNUMBER(Table810[[#This Row],[Total Capacity]]),"USBR Enterprise Asset Registry",IF(Table810[[#This Row],[Total Capacity]]="",""))</f>
        <v/>
      </c>
      <c r="I163" s="28"/>
      <c r="J163" s="28"/>
      <c r="K163" s="28"/>
      <c r="L163" s="50" t="s">
        <v>98</v>
      </c>
      <c r="M163" s="48"/>
      <c r="N163" s="50" t="s">
        <v>98</v>
      </c>
      <c r="O163" s="28"/>
      <c r="P163" s="37"/>
      <c r="Q163" s="28" t="str">
        <f>IF(OR(Table810[[#This Row],[Post-Review Decision]]="Include", Table810[[#This Row],[Post-Review Decision]]="Include if possible", Table810[[#This Row],[Post-Review Decision]]="Include (Omit % Avg if needed)",  Table810[[#This Row],[Post-Review Decision]]="Include (Omit % Avg)"),Table810[[#This Row],[EAR Total Capacity]],"")</f>
        <v/>
      </c>
      <c r="R163" s="28">
        <v>1190</v>
      </c>
      <c r="S163" s="46">
        <v>2070</v>
      </c>
      <c r="T163" s="28"/>
      <c r="U163" s="28"/>
      <c r="V163" s="13" t="s">
        <v>868</v>
      </c>
      <c r="W163" s="12" t="b">
        <f>ISNUMBER(Table810[[#This Row],[EAR Total Capacity]])</f>
        <v>1</v>
      </c>
      <c r="X163" s="12" t="b">
        <f>IF(Table810[[#This Row],[Has  Storage for Full Averaging Period?]]="OK",TRUE,FALSE)</f>
        <v>0</v>
      </c>
      <c r="Y163" s="12" t="b">
        <f>IFERROR(IF(YEAR(Table810[[#This Row],[RISE Storage End Date]])=2025,TRUE,FALSE),FALSE)</f>
        <v>0</v>
      </c>
      <c r="Z163" s="11" t="b">
        <v>0</v>
      </c>
      <c r="AA163" s="13">
        <v>138</v>
      </c>
      <c r="AB163" s="13" t="s">
        <v>76</v>
      </c>
      <c r="AC163" s="13" t="s">
        <v>869</v>
      </c>
      <c r="AD163" s="13" t="s">
        <v>867</v>
      </c>
      <c r="AE163" s="13" t="s">
        <v>78</v>
      </c>
      <c r="AF163" s="13" t="s">
        <v>870</v>
      </c>
      <c r="AG163" s="13" t="s">
        <v>159</v>
      </c>
      <c r="AH163" s="13" t="s">
        <v>160</v>
      </c>
      <c r="AI163" s="13" t="s">
        <v>110</v>
      </c>
      <c r="AJ163" s="13">
        <v>2082</v>
      </c>
      <c r="AK163" s="15"/>
      <c r="AL163" s="15"/>
      <c r="AM163" s="15" t="s">
        <v>61</v>
      </c>
      <c r="AN163" s="15" t="s">
        <v>61</v>
      </c>
      <c r="AO163" s="15" t="s">
        <v>61</v>
      </c>
      <c r="AP163" s="15" t="s">
        <v>61</v>
      </c>
      <c r="AQ163" s="21" t="s">
        <v>136</v>
      </c>
      <c r="AR163" s="25"/>
      <c r="AS163" s="25"/>
      <c r="AT163" s="25"/>
      <c r="AU163" s="25"/>
      <c r="AV163" s="25"/>
      <c r="AW163" s="25"/>
      <c r="AX163" s="24"/>
    </row>
    <row r="164" spans="1:50" ht="16.5" customHeight="1">
      <c r="A164" s="36" t="s">
        <v>871</v>
      </c>
      <c r="B164" s="28"/>
      <c r="C164" s="28" t="s">
        <v>97</v>
      </c>
      <c r="D164" s="28"/>
      <c r="E164" s="28"/>
      <c r="F164" s="28" t="s">
        <v>61</v>
      </c>
      <c r="G164" s="28"/>
      <c r="H164" s="28" t="str">
        <f>IF(ISNUMBER(Table810[[#This Row],[Total Capacity]]),"USBR Enterprise Asset Registry",IF(Table810[[#This Row],[Total Capacity]]="",""))</f>
        <v/>
      </c>
      <c r="I164" s="28"/>
      <c r="J164" s="28"/>
      <c r="K164" s="28"/>
      <c r="L164" s="50" t="s">
        <v>98</v>
      </c>
      <c r="M164" s="48"/>
      <c r="N164" s="50" t="s">
        <v>98</v>
      </c>
      <c r="O164" s="28"/>
      <c r="P164" s="37"/>
      <c r="Q164" s="28" t="str">
        <f>IF(OR(Table810[[#This Row],[Post-Review Decision]]="Include", Table810[[#This Row],[Post-Review Decision]]="Include if possible", Table810[[#This Row],[Post-Review Decision]]="Include (Omit % Avg if needed)",  Table810[[#This Row],[Post-Review Decision]]="Include (Omit % Avg)"),Table810[[#This Row],[EAR Total Capacity]],"")</f>
        <v/>
      </c>
      <c r="R164" s="28"/>
      <c r="S164" s="45">
        <v>0</v>
      </c>
      <c r="T164" s="28"/>
      <c r="U164" s="28"/>
      <c r="V164" s="13" t="s">
        <v>530</v>
      </c>
      <c r="W164" s="12" t="b">
        <f>ISNUMBER(Table810[[#This Row],[EAR Total Capacity]])</f>
        <v>0</v>
      </c>
      <c r="X164" s="12" t="b">
        <f>IF(Table810[[#This Row],[Has  Storage for Full Averaging Period?]]="OK",TRUE,FALSE)</f>
        <v>0</v>
      </c>
      <c r="Y164" s="12" t="b">
        <f>IFERROR(IF(YEAR(Table810[[#This Row],[RISE Storage End Date]])=2025,TRUE,FALSE),FALSE)</f>
        <v>0</v>
      </c>
      <c r="Z164" s="11" t="b">
        <v>0</v>
      </c>
      <c r="AA164" s="13">
        <v>139</v>
      </c>
      <c r="AB164" s="13" t="s">
        <v>76</v>
      </c>
      <c r="AC164" s="13" t="s">
        <v>872</v>
      </c>
      <c r="AD164" s="13" t="s">
        <v>871</v>
      </c>
      <c r="AE164" s="13" t="s">
        <v>101</v>
      </c>
      <c r="AF164" s="13" t="s">
        <v>873</v>
      </c>
      <c r="AG164" s="13" t="s">
        <v>91</v>
      </c>
      <c r="AH164" s="13" t="s">
        <v>102</v>
      </c>
      <c r="AI164" s="13" t="s">
        <v>103</v>
      </c>
      <c r="AJ164" s="14"/>
      <c r="AK164" s="15"/>
      <c r="AL164" s="15"/>
      <c r="AM164" s="15" t="s">
        <v>61</v>
      </c>
      <c r="AN164" s="15" t="s">
        <v>61</v>
      </c>
      <c r="AO164" s="15" t="s">
        <v>61</v>
      </c>
      <c r="AP164" s="15" t="s">
        <v>61</v>
      </c>
      <c r="AQ164" s="22"/>
      <c r="AR164" s="25"/>
      <c r="AS164" s="25"/>
      <c r="AT164" s="25"/>
      <c r="AU164" s="25"/>
      <c r="AV164" s="25"/>
      <c r="AW164" s="25"/>
      <c r="AX164" s="24"/>
    </row>
    <row r="165" spans="1:50" ht="16.5" customHeight="1">
      <c r="A165" s="36" t="s">
        <v>874</v>
      </c>
      <c r="B165" s="28" t="s">
        <v>68</v>
      </c>
      <c r="C165" s="28" t="s">
        <v>52</v>
      </c>
      <c r="D165" s="28" t="s">
        <v>125</v>
      </c>
      <c r="E165" s="28" t="s">
        <v>126</v>
      </c>
      <c r="F165" s="28" t="s">
        <v>61</v>
      </c>
      <c r="G165" s="28">
        <v>3</v>
      </c>
      <c r="H165" s="28" t="str">
        <f>IF(ISNUMBER(Table810[[#This Row],[Total Capacity]]),"USBR Enterprise Asset Registry",IF(Table810[[#This Row],[Total Capacity]]="",""))</f>
        <v>USBR Enterprise Asset Registry</v>
      </c>
      <c r="I165" s="28" t="s">
        <v>57</v>
      </c>
      <c r="J165" s="28"/>
      <c r="K165" s="28"/>
      <c r="L165" s="50">
        <v>94300</v>
      </c>
      <c r="M165" s="48"/>
      <c r="N165" s="50">
        <v>94300</v>
      </c>
      <c r="O165" s="28"/>
      <c r="P165" s="37" t="s">
        <v>875</v>
      </c>
      <c r="Q165" s="28">
        <f>IF(OR(Table810[[#This Row],[Post-Review Decision]]="Include", Table810[[#This Row],[Post-Review Decision]]="Include if possible", Table810[[#This Row],[Post-Review Decision]]="Include (Omit % Avg if needed)",  Table810[[#This Row],[Post-Review Decision]]="Include (Omit % Avg)"),Table810[[#This Row],[EAR Total Capacity]],"")</f>
        <v>94300</v>
      </c>
      <c r="R165" s="28">
        <v>92300</v>
      </c>
      <c r="S165" s="46">
        <v>94300</v>
      </c>
      <c r="T165" s="28" t="s">
        <v>874</v>
      </c>
      <c r="U165" s="28" t="s">
        <v>876</v>
      </c>
      <c r="V165" s="13" t="s">
        <v>156</v>
      </c>
      <c r="W165" s="12" t="b">
        <f>ISNUMBER(Table810[[#This Row],[EAR Total Capacity]])</f>
        <v>1</v>
      </c>
      <c r="X165" s="12" t="b">
        <f>IF(Table810[[#This Row],[Has  Storage for Full Averaging Period?]]="OK",TRUE,FALSE)</f>
        <v>0</v>
      </c>
      <c r="Y165" s="12" t="b">
        <f>IFERROR(IF(YEAR(Table810[[#This Row],[RISE Storage End Date]])=2025,TRUE,FALSE),FALSE)</f>
        <v>0</v>
      </c>
      <c r="Z165" s="11" t="b">
        <v>0</v>
      </c>
      <c r="AA165" s="13">
        <v>140</v>
      </c>
      <c r="AB165" s="13" t="s">
        <v>76</v>
      </c>
      <c r="AC165" s="13" t="s">
        <v>877</v>
      </c>
      <c r="AD165" s="13" t="s">
        <v>874</v>
      </c>
      <c r="AE165" s="13" t="s">
        <v>78</v>
      </c>
      <c r="AF165" s="13" t="s">
        <v>878</v>
      </c>
      <c r="AG165" s="13" t="s">
        <v>159</v>
      </c>
      <c r="AH165" s="13" t="s">
        <v>160</v>
      </c>
      <c r="AI165" s="13" t="s">
        <v>93</v>
      </c>
      <c r="AJ165" s="14">
        <v>94300</v>
      </c>
      <c r="AK165" s="15">
        <v>-121.13</v>
      </c>
      <c r="AL165" s="15">
        <v>42.2012</v>
      </c>
      <c r="AM165" s="15" t="s">
        <v>61</v>
      </c>
      <c r="AN165" s="15" t="s">
        <v>61</v>
      </c>
      <c r="AO165" s="15" t="s">
        <v>61</v>
      </c>
      <c r="AP165" s="15" t="s">
        <v>61</v>
      </c>
      <c r="AQ165" s="21" t="s">
        <v>136</v>
      </c>
      <c r="AR165" s="25"/>
      <c r="AS165" s="25"/>
      <c r="AT165" s="25"/>
      <c r="AU165" s="25"/>
      <c r="AV165" s="25"/>
      <c r="AW165" s="25"/>
      <c r="AX165" s="24"/>
    </row>
    <row r="166" spans="1:50" ht="16.5" customHeight="1">
      <c r="A166" s="36" t="s">
        <v>879</v>
      </c>
      <c r="B166" s="28" t="s">
        <v>68</v>
      </c>
      <c r="C166" s="28" t="s">
        <v>86</v>
      </c>
      <c r="D166" s="28"/>
      <c r="E166" s="28" t="s">
        <v>70</v>
      </c>
      <c r="F166" s="28">
        <v>342</v>
      </c>
      <c r="G166" s="28">
        <v>3</v>
      </c>
      <c r="H166" s="28" t="str">
        <f>IF(ISNUMBER(Table810[[#This Row],[Total Capacity]]),"USBR Enterprise Asset Registry",IF(Table810[[#This Row],[Total Capacity]]="",""))</f>
        <v>USBR Enterprise Asset Registry</v>
      </c>
      <c r="I166" s="28" t="s">
        <v>57</v>
      </c>
      <c r="J166" s="28" t="s">
        <v>72</v>
      </c>
      <c r="K166" s="28"/>
      <c r="L166" s="50">
        <v>98688</v>
      </c>
      <c r="M166" s="48"/>
      <c r="N166" s="50">
        <v>98688</v>
      </c>
      <c r="O166" s="28"/>
      <c r="P166" s="37"/>
      <c r="Q166" s="28">
        <f>IF(OR(Table810[[#This Row],[Post-Review Decision]]="Include", Table810[[#This Row],[Post-Review Decision]]="Include if possible", Table810[[#This Row],[Post-Review Decision]]="Include (Omit % Avg if needed)",  Table810[[#This Row],[Post-Review Decision]]="Include (Omit % Avg)"),Table810[[#This Row],[EAR Total Capacity]],"")</f>
        <v>98688</v>
      </c>
      <c r="R166" s="28">
        <v>98688</v>
      </c>
      <c r="S166" s="46">
        <v>98688</v>
      </c>
      <c r="T166" s="28" t="s">
        <v>879</v>
      </c>
      <c r="U166" s="28" t="s">
        <v>880</v>
      </c>
      <c r="V166" s="13" t="s">
        <v>648</v>
      </c>
      <c r="W166" s="12" t="b">
        <f>ISNUMBER(Table810[[#This Row],[EAR Total Capacity]])</f>
        <v>1</v>
      </c>
      <c r="X166" s="12" t="b">
        <f>IF(Table810[[#This Row],[Has  Storage for Full Averaging Period?]]="OK",TRUE,FALSE)</f>
        <v>1</v>
      </c>
      <c r="Y166" s="12" t="b">
        <f>IFERROR(IF(YEAR(Table810[[#This Row],[RISE Storage End Date]])=2025,TRUE,FALSE),FALSE)</f>
        <v>1</v>
      </c>
      <c r="Z166" s="11" t="b">
        <v>0</v>
      </c>
      <c r="AA166" s="13">
        <v>141</v>
      </c>
      <c r="AB166" s="13" t="s">
        <v>76</v>
      </c>
      <c r="AC166" s="13" t="s">
        <v>881</v>
      </c>
      <c r="AD166" s="13" t="s">
        <v>879</v>
      </c>
      <c r="AE166" s="13" t="s">
        <v>78</v>
      </c>
      <c r="AF166" s="13" t="s">
        <v>882</v>
      </c>
      <c r="AG166" s="13" t="s">
        <v>109</v>
      </c>
      <c r="AH166" s="13" t="s">
        <v>92</v>
      </c>
      <c r="AI166" s="13" t="s">
        <v>93</v>
      </c>
      <c r="AJ166" s="14">
        <v>98688</v>
      </c>
      <c r="AK166" s="18"/>
      <c r="AL166" s="18"/>
      <c r="AM166" s="13" t="s">
        <v>883</v>
      </c>
      <c r="AN166" s="13" t="s">
        <v>95</v>
      </c>
      <c r="AO166" s="13" t="s">
        <v>879</v>
      </c>
      <c r="AP166" s="13" t="s">
        <v>879</v>
      </c>
      <c r="AQ166" s="21" t="s">
        <v>64</v>
      </c>
      <c r="AR166" s="26">
        <v>10959</v>
      </c>
      <c r="AS166" s="26">
        <v>46007</v>
      </c>
      <c r="AT166" s="25">
        <v>35116</v>
      </c>
      <c r="AU166" s="25" t="s">
        <v>65</v>
      </c>
      <c r="AV166" s="25" t="s">
        <v>65</v>
      </c>
      <c r="AW166" s="25" t="s">
        <v>65</v>
      </c>
      <c r="AX166" s="24"/>
    </row>
    <row r="167" spans="1:50" ht="16.5" customHeight="1">
      <c r="A167" s="36" t="s">
        <v>884</v>
      </c>
      <c r="B167" s="28"/>
      <c r="C167" s="28" t="s">
        <v>97</v>
      </c>
      <c r="D167" s="28"/>
      <c r="E167" s="28"/>
      <c r="F167" s="28" t="s">
        <v>61</v>
      </c>
      <c r="G167" s="28"/>
      <c r="H167" s="28" t="str">
        <f>IF(ISNUMBER(Table810[[#This Row],[Total Capacity]]),"USBR Enterprise Asset Registry",IF(Table810[[#This Row],[Total Capacity]]="",""))</f>
        <v/>
      </c>
      <c r="I167" s="28"/>
      <c r="J167" s="28"/>
      <c r="K167" s="28"/>
      <c r="L167" s="50" t="s">
        <v>98</v>
      </c>
      <c r="M167" s="48"/>
      <c r="N167" s="50" t="s">
        <v>98</v>
      </c>
      <c r="O167" s="28"/>
      <c r="P167" s="37"/>
      <c r="Q167" s="28" t="str">
        <f>IF(OR(Table810[[#This Row],[Post-Review Decision]]="Include", Table810[[#This Row],[Post-Review Decision]]="Include if possible", Table810[[#This Row],[Post-Review Decision]]="Include (Omit % Avg if needed)",  Table810[[#This Row],[Post-Review Decision]]="Include (Omit % Avg)"),Table810[[#This Row],[EAR Total Capacity]],"")</f>
        <v/>
      </c>
      <c r="R167" s="28">
        <v>385</v>
      </c>
      <c r="S167" s="45">
        <v>0</v>
      </c>
      <c r="T167" s="28"/>
      <c r="U167" s="28"/>
      <c r="V167" s="13" t="s">
        <v>400</v>
      </c>
      <c r="W167" s="12" t="b">
        <f>ISNUMBER(Table810[[#This Row],[EAR Total Capacity]])</f>
        <v>1</v>
      </c>
      <c r="X167" s="12" t="b">
        <f>IF(Table810[[#This Row],[Has  Storage for Full Averaging Period?]]="OK",TRUE,FALSE)</f>
        <v>0</v>
      </c>
      <c r="Y167" s="12" t="b">
        <f>IFERROR(IF(YEAR(Table810[[#This Row],[RISE Storage End Date]])=2025,TRUE,FALSE),FALSE)</f>
        <v>0</v>
      </c>
      <c r="Z167" s="11" t="b">
        <v>0</v>
      </c>
      <c r="AA167" s="13">
        <v>142</v>
      </c>
      <c r="AB167" s="13" t="s">
        <v>76</v>
      </c>
      <c r="AC167" s="13" t="s">
        <v>885</v>
      </c>
      <c r="AD167" s="13" t="s">
        <v>884</v>
      </c>
      <c r="AE167" s="13" t="s">
        <v>78</v>
      </c>
      <c r="AF167" s="13" t="s">
        <v>886</v>
      </c>
      <c r="AG167" s="13" t="s">
        <v>179</v>
      </c>
      <c r="AH167" s="13" t="s">
        <v>160</v>
      </c>
      <c r="AI167" s="13" t="s">
        <v>110</v>
      </c>
      <c r="AJ167" s="14">
        <v>470</v>
      </c>
      <c r="AK167" s="15"/>
      <c r="AL167" s="15"/>
      <c r="AM167" s="15" t="s">
        <v>61</v>
      </c>
      <c r="AN167" s="15" t="s">
        <v>61</v>
      </c>
      <c r="AO167" s="15" t="s">
        <v>61</v>
      </c>
      <c r="AP167" s="15" t="s">
        <v>61</v>
      </c>
      <c r="AQ167" s="21" t="s">
        <v>136</v>
      </c>
      <c r="AR167" s="25"/>
      <c r="AS167" s="25"/>
      <c r="AT167" s="25"/>
      <c r="AU167" s="25"/>
      <c r="AV167" s="25"/>
      <c r="AW167" s="25"/>
      <c r="AX167" s="24"/>
    </row>
    <row r="168" spans="1:50" ht="16.5" customHeight="1">
      <c r="A168" s="36" t="s">
        <v>887</v>
      </c>
      <c r="B168" s="28" t="s">
        <v>68</v>
      </c>
      <c r="C168" s="28" t="s">
        <v>86</v>
      </c>
      <c r="D168" s="28"/>
      <c r="E168" s="28" t="s">
        <v>70</v>
      </c>
      <c r="F168" s="28">
        <v>345</v>
      </c>
      <c r="G168" s="28">
        <v>3</v>
      </c>
      <c r="H168" s="28" t="str">
        <f>IF(ISNUMBER(Table810[[#This Row],[Total Capacity]]),"USBR Enterprise Asset Registry",IF(Table810[[#This Row],[Total Capacity]]="",""))</f>
        <v>USBR Enterprise Asset Registry</v>
      </c>
      <c r="I168" s="28" t="s">
        <v>57</v>
      </c>
      <c r="J168" s="28" t="s">
        <v>127</v>
      </c>
      <c r="K168" s="28">
        <v>271017</v>
      </c>
      <c r="L168" s="50">
        <v>492022</v>
      </c>
      <c r="M168" s="48"/>
      <c r="N168" s="50">
        <v>492022</v>
      </c>
      <c r="O168" s="28"/>
      <c r="P168" s="37"/>
      <c r="Q168" s="28">
        <f>IF(OR(Table810[[#This Row],[Post-Review Decision]]="Include", Table810[[#This Row],[Post-Review Decision]]="Include if possible", Table810[[#This Row],[Post-Review Decision]]="Include (Omit % Avg if needed)",  Table810[[#This Row],[Post-Review Decision]]="Include (Omit % Avg)"),Table810[[#This Row],[EAR Total Capacity]],"")</f>
        <v>763039</v>
      </c>
      <c r="R168" s="28">
        <v>711466</v>
      </c>
      <c r="S168" s="46">
        <v>756029</v>
      </c>
      <c r="T168" s="28" t="s">
        <v>887</v>
      </c>
      <c r="U168" s="28" t="s">
        <v>888</v>
      </c>
      <c r="V168" s="13" t="s">
        <v>889</v>
      </c>
      <c r="W168" s="12" t="b">
        <f>ISNUMBER(Table810[[#This Row],[EAR Total Capacity]])</f>
        <v>1</v>
      </c>
      <c r="X168" s="12" t="b">
        <f>IF(Table810[[#This Row],[Has  Storage for Full Averaging Period?]]="OK",TRUE,FALSE)</f>
        <v>1</v>
      </c>
      <c r="Y168" s="12" t="b">
        <f>IFERROR(IF(YEAR(Table810[[#This Row],[RISE Storage End Date]])=2025,TRUE,FALSE),FALSE)</f>
        <v>1</v>
      </c>
      <c r="Z168" s="11" t="b">
        <v>0</v>
      </c>
      <c r="AA168" s="13">
        <v>143</v>
      </c>
      <c r="AB168" s="13" t="s">
        <v>76</v>
      </c>
      <c r="AC168" s="13" t="s">
        <v>890</v>
      </c>
      <c r="AD168" s="13" t="s">
        <v>887</v>
      </c>
      <c r="AE168" s="13" t="s">
        <v>78</v>
      </c>
      <c r="AF168" s="13" t="s">
        <v>891</v>
      </c>
      <c r="AG168" s="13" t="s">
        <v>91</v>
      </c>
      <c r="AH168" s="13" t="s">
        <v>92</v>
      </c>
      <c r="AI168" s="13" t="s">
        <v>93</v>
      </c>
      <c r="AJ168" s="14">
        <v>763039</v>
      </c>
      <c r="AK168" s="18"/>
      <c r="AL168" s="18"/>
      <c r="AM168" s="13" t="s">
        <v>892</v>
      </c>
      <c r="AN168" s="13" t="s">
        <v>95</v>
      </c>
      <c r="AO168" s="13" t="s">
        <v>887</v>
      </c>
      <c r="AP168" s="13" t="s">
        <v>887</v>
      </c>
      <c r="AQ168" s="21" t="s">
        <v>64</v>
      </c>
      <c r="AR168" s="26">
        <v>21110</v>
      </c>
      <c r="AS168" s="26">
        <v>46007</v>
      </c>
      <c r="AT168" s="25">
        <v>24902</v>
      </c>
      <c r="AU168" s="25" t="s">
        <v>65</v>
      </c>
      <c r="AV168" s="25" t="s">
        <v>65</v>
      </c>
      <c r="AW168" s="25" t="s">
        <v>65</v>
      </c>
      <c r="AX168" s="24"/>
    </row>
    <row r="169" spans="1:50" ht="16.5" customHeight="1">
      <c r="A169" s="36" t="s">
        <v>893</v>
      </c>
      <c r="B169" s="28"/>
      <c r="C169" s="28" t="s">
        <v>97</v>
      </c>
      <c r="D169" s="28"/>
      <c r="E169" s="28"/>
      <c r="F169" s="28" t="s">
        <v>61</v>
      </c>
      <c r="G169" s="28"/>
      <c r="H169" s="28" t="str">
        <f>IF(ISNUMBER(Table810[[#This Row],[Total Capacity]]),"USBR Enterprise Asset Registry",IF(Table810[[#This Row],[Total Capacity]]="",""))</f>
        <v/>
      </c>
      <c r="I169" s="28"/>
      <c r="J169" s="28"/>
      <c r="K169" s="28"/>
      <c r="L169" s="50" t="s">
        <v>98</v>
      </c>
      <c r="M169" s="48"/>
      <c r="N169" s="50" t="s">
        <v>98</v>
      </c>
      <c r="O169" s="28"/>
      <c r="P169" s="37"/>
      <c r="Q169" s="28" t="str">
        <f>IF(OR(Table810[[#This Row],[Post-Review Decision]]="Include", Table810[[#This Row],[Post-Review Decision]]="Include if possible", Table810[[#This Row],[Post-Review Decision]]="Include (Omit % Avg if needed)",  Table810[[#This Row],[Post-Review Decision]]="Include (Omit % Avg)"),Table810[[#This Row],[EAR Total Capacity]],"")</f>
        <v/>
      </c>
      <c r="R169" s="28"/>
      <c r="S169" s="45">
        <v>0</v>
      </c>
      <c r="T169" s="28"/>
      <c r="U169" s="28"/>
      <c r="V169" s="13" t="s">
        <v>413</v>
      </c>
      <c r="W169" s="12" t="b">
        <f>ISNUMBER(Table810[[#This Row],[EAR Total Capacity]])</f>
        <v>0</v>
      </c>
      <c r="X169" s="12" t="b">
        <f>IF(Table810[[#This Row],[Has  Storage for Full Averaging Period?]]="OK",TRUE,FALSE)</f>
        <v>0</v>
      </c>
      <c r="Y169" s="12" t="b">
        <f>IFERROR(IF(YEAR(Table810[[#This Row],[RISE Storage End Date]])=2025,TRUE,FALSE),FALSE)</f>
        <v>0</v>
      </c>
      <c r="Z169" s="11" t="b">
        <v>0</v>
      </c>
      <c r="AA169" s="13">
        <v>144</v>
      </c>
      <c r="AB169" s="13" t="s">
        <v>76</v>
      </c>
      <c r="AC169" s="13" t="s">
        <v>894</v>
      </c>
      <c r="AD169" s="13" t="s">
        <v>893</v>
      </c>
      <c r="AE169" s="13" t="s">
        <v>78</v>
      </c>
      <c r="AF169" s="13" t="s">
        <v>895</v>
      </c>
      <c r="AG169" s="13" t="s">
        <v>109</v>
      </c>
      <c r="AH169" s="13" t="s">
        <v>92</v>
      </c>
      <c r="AI169" s="13" t="s">
        <v>93</v>
      </c>
      <c r="AJ169" s="13"/>
      <c r="AK169" s="15"/>
      <c r="AL169" s="15"/>
      <c r="AM169" s="15" t="s">
        <v>61</v>
      </c>
      <c r="AN169" s="15" t="s">
        <v>61</v>
      </c>
      <c r="AO169" s="15" t="s">
        <v>61</v>
      </c>
      <c r="AP169" s="15" t="s">
        <v>61</v>
      </c>
      <c r="AQ169" s="21" t="s">
        <v>136</v>
      </c>
      <c r="AR169" s="25"/>
      <c r="AS169" s="25"/>
      <c r="AT169" s="25"/>
      <c r="AU169" s="25"/>
      <c r="AV169" s="25"/>
      <c r="AW169" s="25"/>
      <c r="AX169" s="24"/>
    </row>
    <row r="170" spans="1:50" ht="16.5" customHeight="1">
      <c r="A170" s="36" t="s">
        <v>896</v>
      </c>
      <c r="B170" s="28" t="s">
        <v>68</v>
      </c>
      <c r="C170" s="28" t="s">
        <v>86</v>
      </c>
      <c r="D170" s="28"/>
      <c r="E170" s="28" t="s">
        <v>70</v>
      </c>
      <c r="F170" s="28">
        <v>351</v>
      </c>
      <c r="G170" s="28">
        <v>3</v>
      </c>
      <c r="H170" s="28" t="str">
        <f>IF(ISNUMBER(Table810[[#This Row],[Total Capacity]]),"USBR Enterprise Asset Registry",IF(Table810[[#This Row],[Total Capacity]]="",""))</f>
        <v>USBR Enterprise Asset Registry</v>
      </c>
      <c r="I170" s="28" t="s">
        <v>57</v>
      </c>
      <c r="J170" s="28" t="s">
        <v>72</v>
      </c>
      <c r="K170" s="28"/>
      <c r="L170" s="50">
        <v>539758</v>
      </c>
      <c r="M170" s="48"/>
      <c r="N170" s="50">
        <v>539758</v>
      </c>
      <c r="O170" s="28"/>
      <c r="P170" s="37"/>
      <c r="Q170" s="28">
        <f>IF(OR(Table810[[#This Row],[Post-Review Decision]]="Include", Table810[[#This Row],[Post-Review Decision]]="Include if possible", Table810[[#This Row],[Post-Review Decision]]="Include (Omit % Avg if needed)",  Table810[[#This Row],[Post-Review Decision]]="Include (Omit % Avg)"),Table810[[#This Row],[EAR Total Capacity]],"")</f>
        <v>539758</v>
      </c>
      <c r="R170" s="28">
        <v>465568</v>
      </c>
      <c r="S170" s="46">
        <v>490291</v>
      </c>
      <c r="T170" s="28" t="s">
        <v>896</v>
      </c>
      <c r="U170" s="28" t="s">
        <v>897</v>
      </c>
      <c r="V170" s="13" t="s">
        <v>264</v>
      </c>
      <c r="W170" s="12" t="b">
        <f>ISNUMBER(Table810[[#This Row],[EAR Total Capacity]])</f>
        <v>1</v>
      </c>
      <c r="X170" s="12" t="b">
        <f>IF(Table810[[#This Row],[Has  Storage for Full Averaging Period?]]="OK",TRUE,FALSE)</f>
        <v>1</v>
      </c>
      <c r="Y170" s="12" t="b">
        <f>IFERROR(IF(YEAR(Table810[[#This Row],[RISE Storage End Date]])=2025,TRUE,FALSE),FALSE)</f>
        <v>1</v>
      </c>
      <c r="Z170" s="11" t="b">
        <v>0</v>
      </c>
      <c r="AA170" s="13">
        <v>216</v>
      </c>
      <c r="AB170" s="13" t="s">
        <v>76</v>
      </c>
      <c r="AC170" s="13" t="s">
        <v>898</v>
      </c>
      <c r="AD170" s="13" t="s">
        <v>896</v>
      </c>
      <c r="AE170" s="13" t="s">
        <v>78</v>
      </c>
      <c r="AF170" s="13" t="s">
        <v>899</v>
      </c>
      <c r="AG170" s="13" t="s">
        <v>91</v>
      </c>
      <c r="AH170" s="13" t="s">
        <v>92</v>
      </c>
      <c r="AI170" s="13" t="s">
        <v>93</v>
      </c>
      <c r="AJ170" s="14">
        <v>539758</v>
      </c>
      <c r="AK170" s="18"/>
      <c r="AL170" s="18"/>
      <c r="AM170" s="13" t="s">
        <v>900</v>
      </c>
      <c r="AN170" s="13" t="s">
        <v>63</v>
      </c>
      <c r="AO170" s="13" t="s">
        <v>896</v>
      </c>
      <c r="AP170" s="13" t="s">
        <v>896</v>
      </c>
      <c r="AQ170" s="21" t="s">
        <v>64</v>
      </c>
      <c r="AR170" s="26">
        <v>19633</v>
      </c>
      <c r="AS170" s="26">
        <v>46007</v>
      </c>
      <c r="AT170" s="25">
        <v>24482</v>
      </c>
      <c r="AU170" s="25" t="s">
        <v>65</v>
      </c>
      <c r="AV170" s="25" t="s">
        <v>65</v>
      </c>
      <c r="AW170" s="25" t="s">
        <v>65</v>
      </c>
      <c r="AX170" s="24"/>
    </row>
    <row r="171" spans="1:50" ht="16.5" customHeight="1">
      <c r="A171" s="36" t="s">
        <v>901</v>
      </c>
      <c r="B171" s="28"/>
      <c r="C171" s="28" t="s">
        <v>97</v>
      </c>
      <c r="D171" s="28"/>
      <c r="E171" s="28"/>
      <c r="F171" s="28">
        <v>344</v>
      </c>
      <c r="G171" s="28"/>
      <c r="H171" s="28" t="str">
        <f>IF(ISNUMBER(Table810[[#This Row],[Total Capacity]]),"USBR Enterprise Asset Registry",IF(Table810[[#This Row],[Total Capacity]]="",""))</f>
        <v/>
      </c>
      <c r="I171" s="28"/>
      <c r="J171" s="28"/>
      <c r="K171" s="28"/>
      <c r="L171" s="50" t="s">
        <v>98</v>
      </c>
      <c r="M171" s="48"/>
      <c r="N171" s="50" t="s">
        <v>98</v>
      </c>
      <c r="O171" s="28"/>
      <c r="P171" s="37"/>
      <c r="Q171" s="28" t="str">
        <f>IF(OR(Table810[[#This Row],[Post-Review Decision]]="Include", Table810[[#This Row],[Post-Review Decision]]="Include if possible", Table810[[#This Row],[Post-Review Decision]]="Include (Omit % Avg if needed)",  Table810[[#This Row],[Post-Review Decision]]="Include (Omit % Avg)"),Table810[[#This Row],[EAR Total Capacity]],"")</f>
        <v/>
      </c>
      <c r="R171" s="28"/>
      <c r="S171" s="45">
        <v>0</v>
      </c>
      <c r="T171" s="28"/>
      <c r="U171" s="28"/>
      <c r="V171" s="13" t="s">
        <v>264</v>
      </c>
      <c r="W171" s="12" t="b">
        <f>ISNUMBER(Table810[[#This Row],[EAR Total Capacity]])</f>
        <v>0</v>
      </c>
      <c r="X171" s="12" t="b">
        <f>IF(Table810[[#This Row],[Has  Storage for Full Averaging Period?]]="OK",TRUE,FALSE)</f>
        <v>0</v>
      </c>
      <c r="Y171" s="12" t="b">
        <f>IFERROR(IF(YEAR(Table810[[#This Row],[RISE Storage End Date]])=2025,TRUE,FALSE),FALSE)</f>
        <v>1</v>
      </c>
      <c r="Z171" s="11" t="b">
        <v>0</v>
      </c>
      <c r="AA171" s="13">
        <v>145</v>
      </c>
      <c r="AB171" s="13" t="s">
        <v>76</v>
      </c>
      <c r="AC171" s="13" t="s">
        <v>902</v>
      </c>
      <c r="AD171" s="13" t="s">
        <v>901</v>
      </c>
      <c r="AE171" s="13" t="s">
        <v>343</v>
      </c>
      <c r="AF171" s="13" t="s">
        <v>344</v>
      </c>
      <c r="AG171" s="13" t="s">
        <v>91</v>
      </c>
      <c r="AH171" s="13" t="s">
        <v>92</v>
      </c>
      <c r="AI171" s="13" t="s">
        <v>110</v>
      </c>
      <c r="AJ171" s="14"/>
      <c r="AK171" s="18"/>
      <c r="AL171" s="18"/>
      <c r="AM171" s="13" t="s">
        <v>902</v>
      </c>
      <c r="AN171" s="13" t="s">
        <v>63</v>
      </c>
      <c r="AO171" s="13" t="s">
        <v>901</v>
      </c>
      <c r="AP171" s="13" t="e">
        <v>#N/A</v>
      </c>
      <c r="AQ171" s="21" t="s">
        <v>64</v>
      </c>
      <c r="AR171" s="26">
        <v>40310</v>
      </c>
      <c r="AS171" s="26">
        <v>46007</v>
      </c>
      <c r="AT171" s="25">
        <v>5696</v>
      </c>
      <c r="AU171" s="25" t="s">
        <v>66</v>
      </c>
      <c r="AV171" s="25" t="s">
        <v>65</v>
      </c>
      <c r="AW171" s="25" t="s">
        <v>66</v>
      </c>
      <c r="AX171" s="24"/>
    </row>
    <row r="172" spans="1:50" ht="16.5" customHeight="1">
      <c r="A172" s="36" t="s">
        <v>903</v>
      </c>
      <c r="B172" s="28"/>
      <c r="C172" s="28" t="s">
        <v>97</v>
      </c>
      <c r="D172" s="28"/>
      <c r="E172" s="28"/>
      <c r="F172" s="28" t="s">
        <v>61</v>
      </c>
      <c r="G172" s="28"/>
      <c r="H172" s="28" t="str">
        <f>IF(ISNUMBER(Table810[[#This Row],[Total Capacity]]),"USBR Enterprise Asset Registry",IF(Table810[[#This Row],[Total Capacity]]="",""))</f>
        <v/>
      </c>
      <c r="I172" s="28"/>
      <c r="J172" s="28"/>
      <c r="K172" s="28"/>
      <c r="L172" s="50" t="s">
        <v>98</v>
      </c>
      <c r="M172" s="48"/>
      <c r="N172" s="50" t="s">
        <v>98</v>
      </c>
      <c r="O172" s="28"/>
      <c r="P172" s="37"/>
      <c r="Q172" s="28" t="str">
        <f>IF(OR(Table810[[#This Row],[Post-Review Decision]]="Include", Table810[[#This Row],[Post-Review Decision]]="Include if possible", Table810[[#This Row],[Post-Review Decision]]="Include (Omit % Avg if needed)",  Table810[[#This Row],[Post-Review Decision]]="Include (Omit % Avg)"),Table810[[#This Row],[EAR Total Capacity]],"")</f>
        <v/>
      </c>
      <c r="R172" s="28"/>
      <c r="S172" s="45">
        <v>0</v>
      </c>
      <c r="T172" s="28"/>
      <c r="U172" s="28"/>
      <c r="V172" s="13" t="s">
        <v>904</v>
      </c>
      <c r="W172" s="12" t="b">
        <f>ISNUMBER(Table810[[#This Row],[EAR Total Capacity]])</f>
        <v>0</v>
      </c>
      <c r="X172" s="12" t="b">
        <f>IF(Table810[[#This Row],[Has  Storage for Full Averaging Period?]]="OK",TRUE,FALSE)</f>
        <v>0</v>
      </c>
      <c r="Y172" s="12" t="b">
        <f>IFERROR(IF(YEAR(Table810[[#This Row],[RISE Storage End Date]])=2025,TRUE,FALSE),FALSE)</f>
        <v>0</v>
      </c>
      <c r="Z172" s="11" t="b">
        <v>0</v>
      </c>
      <c r="AA172" s="13">
        <v>146</v>
      </c>
      <c r="AB172" s="13" t="s">
        <v>76</v>
      </c>
      <c r="AC172" s="13" t="s">
        <v>905</v>
      </c>
      <c r="AD172" s="13" t="s">
        <v>903</v>
      </c>
      <c r="AE172" s="13" t="s">
        <v>101</v>
      </c>
      <c r="AF172" s="13" t="s">
        <v>906</v>
      </c>
      <c r="AG172" s="13" t="s">
        <v>91</v>
      </c>
      <c r="AH172" s="13" t="s">
        <v>102</v>
      </c>
      <c r="AI172" s="13" t="s">
        <v>103</v>
      </c>
      <c r="AJ172" s="14"/>
      <c r="AK172" s="15"/>
      <c r="AL172" s="15"/>
      <c r="AM172" s="15" t="s">
        <v>61</v>
      </c>
      <c r="AN172" s="15" t="s">
        <v>61</v>
      </c>
      <c r="AO172" s="15" t="s">
        <v>61</v>
      </c>
      <c r="AP172" s="15" t="s">
        <v>61</v>
      </c>
      <c r="AQ172" s="22"/>
      <c r="AR172" s="25"/>
      <c r="AS172" s="25"/>
      <c r="AT172" s="25"/>
      <c r="AU172" s="25"/>
      <c r="AV172" s="25"/>
      <c r="AW172" s="25"/>
      <c r="AX172" s="24"/>
    </row>
    <row r="173" spans="1:50" ht="16.5" customHeight="1">
      <c r="A173" s="36" t="s">
        <v>907</v>
      </c>
      <c r="B173" s="28"/>
      <c r="C173" s="28" t="s">
        <v>97</v>
      </c>
      <c r="D173" s="28"/>
      <c r="E173" s="28"/>
      <c r="F173" s="28" t="s">
        <v>61</v>
      </c>
      <c r="G173" s="28"/>
      <c r="H173" s="28" t="str">
        <f>IF(ISNUMBER(Table810[[#This Row],[Total Capacity]]),"USBR Enterprise Asset Registry",IF(Table810[[#This Row],[Total Capacity]]="",""))</f>
        <v/>
      </c>
      <c r="I173" s="28"/>
      <c r="J173" s="28"/>
      <c r="K173" s="28"/>
      <c r="L173" s="50" t="s">
        <v>98</v>
      </c>
      <c r="M173" s="48"/>
      <c r="N173" s="50" t="s">
        <v>98</v>
      </c>
      <c r="O173" s="28"/>
      <c r="P173" s="37"/>
      <c r="Q173" s="28" t="str">
        <f>IF(OR(Table810[[#This Row],[Post-Review Decision]]="Include", Table810[[#This Row],[Post-Review Decision]]="Include if possible", Table810[[#This Row],[Post-Review Decision]]="Include (Omit % Avg if needed)",  Table810[[#This Row],[Post-Review Decision]]="Include (Omit % Avg)"),Table810[[#This Row],[EAR Total Capacity]],"")</f>
        <v/>
      </c>
      <c r="R173" s="28"/>
      <c r="S173" s="45">
        <v>0</v>
      </c>
      <c r="T173" s="28"/>
      <c r="U173" s="28"/>
      <c r="V173" s="13" t="s">
        <v>442</v>
      </c>
      <c r="W173" s="12" t="b">
        <f>ISNUMBER(Table810[[#This Row],[EAR Total Capacity]])</f>
        <v>0</v>
      </c>
      <c r="X173" s="12" t="b">
        <f>IF(Table810[[#This Row],[Has  Storage for Full Averaging Period?]]="OK",TRUE,FALSE)</f>
        <v>0</v>
      </c>
      <c r="Y173" s="12" t="b">
        <f>IFERROR(IF(YEAR(Table810[[#This Row],[RISE Storage End Date]])=2025,TRUE,FALSE),FALSE)</f>
        <v>0</v>
      </c>
      <c r="Z173" s="11" t="b">
        <v>0</v>
      </c>
      <c r="AA173" s="13">
        <v>147</v>
      </c>
      <c r="AB173" s="13" t="s">
        <v>76</v>
      </c>
      <c r="AC173" s="13" t="s">
        <v>908</v>
      </c>
      <c r="AD173" s="13" t="s">
        <v>907</v>
      </c>
      <c r="AE173" s="13" t="s">
        <v>101</v>
      </c>
      <c r="AF173" s="13" t="s">
        <v>909</v>
      </c>
      <c r="AG173" s="13" t="s">
        <v>91</v>
      </c>
      <c r="AH173" s="13" t="s">
        <v>92</v>
      </c>
      <c r="AI173" s="13" t="s">
        <v>103</v>
      </c>
      <c r="AJ173" s="13"/>
      <c r="AK173" s="15"/>
      <c r="AL173" s="15"/>
      <c r="AM173" s="15" t="s">
        <v>61</v>
      </c>
      <c r="AN173" s="15" t="s">
        <v>61</v>
      </c>
      <c r="AO173" s="15" t="s">
        <v>61</v>
      </c>
      <c r="AP173" s="15" t="s">
        <v>61</v>
      </c>
      <c r="AQ173" s="22"/>
      <c r="AR173" s="25"/>
      <c r="AS173" s="25"/>
      <c r="AT173" s="25"/>
      <c r="AU173" s="25"/>
      <c r="AV173" s="25"/>
      <c r="AW173" s="25"/>
      <c r="AX173" s="24"/>
    </row>
    <row r="174" spans="1:50" ht="16.5" customHeight="1">
      <c r="A174" s="36" t="s">
        <v>910</v>
      </c>
      <c r="B174" s="28"/>
      <c r="C174" s="28" t="s">
        <v>97</v>
      </c>
      <c r="D174" s="28"/>
      <c r="E174" s="28"/>
      <c r="F174" s="28" t="s">
        <v>61</v>
      </c>
      <c r="G174" s="28"/>
      <c r="H174" s="28" t="str">
        <f>IF(ISNUMBER(Table810[[#This Row],[Total Capacity]]),"USBR Enterprise Asset Registry",IF(Table810[[#This Row],[Total Capacity]]="",""))</f>
        <v/>
      </c>
      <c r="I174" s="28"/>
      <c r="J174" s="28"/>
      <c r="K174" s="28"/>
      <c r="L174" s="50" t="s">
        <v>98</v>
      </c>
      <c r="M174" s="48"/>
      <c r="N174" s="50" t="s">
        <v>98</v>
      </c>
      <c r="O174" s="28"/>
      <c r="P174" s="37"/>
      <c r="Q174" s="28" t="str">
        <f>IF(OR(Table810[[#This Row],[Post-Review Decision]]="Include", Table810[[#This Row],[Post-Review Decision]]="Include if possible", Table810[[#This Row],[Post-Review Decision]]="Include (Omit % Avg if needed)",  Table810[[#This Row],[Post-Review Decision]]="Include (Omit % Avg)"),Table810[[#This Row],[EAR Total Capacity]],"")</f>
        <v/>
      </c>
      <c r="R174" s="28"/>
      <c r="S174" s="45">
        <v>0</v>
      </c>
      <c r="T174" s="28"/>
      <c r="U174" s="28"/>
      <c r="V174" s="13" t="s">
        <v>176</v>
      </c>
      <c r="W174" s="12" t="b">
        <f>ISNUMBER(Table810[[#This Row],[EAR Total Capacity]])</f>
        <v>0</v>
      </c>
      <c r="X174" s="12" t="b">
        <f>IF(Table810[[#This Row],[Has  Storage for Full Averaging Period?]]="OK",TRUE,FALSE)</f>
        <v>0</v>
      </c>
      <c r="Y174" s="12" t="b">
        <f>IFERROR(IF(YEAR(Table810[[#This Row],[RISE Storage End Date]])=2025,TRUE,FALSE),FALSE)</f>
        <v>0</v>
      </c>
      <c r="Z174" s="11" t="b">
        <v>0</v>
      </c>
      <c r="AA174" s="13">
        <v>148</v>
      </c>
      <c r="AB174" s="13" t="s">
        <v>76</v>
      </c>
      <c r="AC174" s="13" t="s">
        <v>911</v>
      </c>
      <c r="AD174" s="13" t="s">
        <v>910</v>
      </c>
      <c r="AE174" s="13" t="s">
        <v>78</v>
      </c>
      <c r="AF174" s="13" t="s">
        <v>912</v>
      </c>
      <c r="AG174" s="13" t="s">
        <v>179</v>
      </c>
      <c r="AH174" s="13" t="s">
        <v>180</v>
      </c>
      <c r="AI174" s="13" t="s">
        <v>103</v>
      </c>
      <c r="AJ174" s="14"/>
      <c r="AK174" s="15"/>
      <c r="AL174" s="15"/>
      <c r="AM174" s="15" t="s">
        <v>61</v>
      </c>
      <c r="AN174" s="15" t="s">
        <v>61</v>
      </c>
      <c r="AO174" s="15" t="s">
        <v>61</v>
      </c>
      <c r="AP174" s="15" t="s">
        <v>61</v>
      </c>
      <c r="AQ174" s="21" t="s">
        <v>136</v>
      </c>
      <c r="AR174" s="25"/>
      <c r="AS174" s="25"/>
      <c r="AT174" s="25"/>
      <c r="AU174" s="25"/>
      <c r="AV174" s="25"/>
      <c r="AW174" s="25"/>
      <c r="AX174" s="24"/>
    </row>
    <row r="175" spans="1:50" ht="16.5" customHeight="1">
      <c r="A175" s="36" t="s">
        <v>913</v>
      </c>
      <c r="B175" s="28" t="s">
        <v>68</v>
      </c>
      <c r="C175" s="28" t="s">
        <v>69</v>
      </c>
      <c r="D175" s="28"/>
      <c r="E175" s="28" t="s">
        <v>70</v>
      </c>
      <c r="F175" s="28">
        <v>7178</v>
      </c>
      <c r="G175" s="28">
        <v>3</v>
      </c>
      <c r="H175" s="28" t="str">
        <f>IF(ISNUMBER(Table810[[#This Row],[Total Capacity]]),"USBR Enterprise Asset Registry",IF(Table810[[#This Row],[Total Capacity]]="",""))</f>
        <v>USBR Enterprise Asset Registry</v>
      </c>
      <c r="I175" s="28" t="s">
        <v>71</v>
      </c>
      <c r="J175" s="28" t="s">
        <v>72</v>
      </c>
      <c r="K175" s="33"/>
      <c r="L175" s="50">
        <v>15182</v>
      </c>
      <c r="M175" s="48"/>
      <c r="N175" s="50">
        <v>15182</v>
      </c>
      <c r="O175" s="28"/>
      <c r="P175" s="37"/>
      <c r="Q175" s="28">
        <f>IF(OR(Table810[[#This Row],[Post-Review Decision]]="Include", Table810[[#This Row],[Post-Review Decision]]="Include if possible", Table810[[#This Row],[Post-Review Decision]]="Include (Omit % Avg if needed)",  Table810[[#This Row],[Post-Review Decision]]="Include (Omit % Avg)"),Table810[[#This Row],[EAR Total Capacity]],"")</f>
        <v>15452</v>
      </c>
      <c r="R175" s="28">
        <v>15182</v>
      </c>
      <c r="S175" s="46">
        <v>15182</v>
      </c>
      <c r="T175" s="28" t="s">
        <v>914</v>
      </c>
      <c r="U175" s="28" t="s">
        <v>915</v>
      </c>
      <c r="V175" s="13" t="s">
        <v>139</v>
      </c>
      <c r="W175" s="12" t="b">
        <f>ISNUMBER(Table810[[#This Row],[EAR Total Capacity]])</f>
        <v>1</v>
      </c>
      <c r="X175" s="12" t="s">
        <v>75</v>
      </c>
      <c r="Y175" s="12" t="b">
        <f>IFERROR(IF(YEAR(Table810[[#This Row],[RISE Storage End Date]])=2025,TRUE,FALSE),FALSE)</f>
        <v>0</v>
      </c>
      <c r="Z175" s="11" t="b">
        <v>0</v>
      </c>
      <c r="AA175" s="13">
        <v>149</v>
      </c>
      <c r="AB175" s="13" t="s">
        <v>76</v>
      </c>
      <c r="AC175" s="13" t="s">
        <v>914</v>
      </c>
      <c r="AD175" s="13" t="s">
        <v>913</v>
      </c>
      <c r="AE175" s="13" t="s">
        <v>78</v>
      </c>
      <c r="AF175" s="13" t="s">
        <v>916</v>
      </c>
      <c r="AG175" s="13" t="s">
        <v>91</v>
      </c>
      <c r="AH175" s="13" t="s">
        <v>81</v>
      </c>
      <c r="AI175" s="13" t="s">
        <v>93</v>
      </c>
      <c r="AJ175" s="19">
        <v>15452</v>
      </c>
      <c r="AK175" s="18"/>
      <c r="AL175" s="18"/>
      <c r="AM175" s="13" t="s">
        <v>917</v>
      </c>
      <c r="AN175" s="13" t="s">
        <v>63</v>
      </c>
      <c r="AO175" s="13" t="s">
        <v>913</v>
      </c>
      <c r="AP175" s="13" t="s">
        <v>914</v>
      </c>
      <c r="AQ175" s="21" t="s">
        <v>64</v>
      </c>
      <c r="AR175" s="25"/>
      <c r="AS175" s="25"/>
      <c r="AT175" s="25"/>
      <c r="AU175" s="25"/>
      <c r="AV175" s="25"/>
      <c r="AW175" s="25"/>
      <c r="AX175" s="24"/>
    </row>
    <row r="176" spans="1:50" ht="16.5" customHeight="1">
      <c r="A176" s="36" t="s">
        <v>918</v>
      </c>
      <c r="B176" s="28" t="s">
        <v>68</v>
      </c>
      <c r="C176" s="28" t="s">
        <v>52</v>
      </c>
      <c r="D176" s="28" t="s">
        <v>919</v>
      </c>
      <c r="E176" s="28" t="s">
        <v>126</v>
      </c>
      <c r="F176" s="28">
        <v>3</v>
      </c>
      <c r="G176" s="28">
        <v>3</v>
      </c>
      <c r="H176" s="28" t="str">
        <f>IF(ISNUMBER(Table810[[#This Row],[Total Capacity]]),"USBR Enterprise Asset Registry",IF(Table810[[#This Row],[Total Capacity]]="",""))</f>
        <v>USBR Enterprise Asset Registry</v>
      </c>
      <c r="I176" s="28" t="s">
        <v>57</v>
      </c>
      <c r="J176" s="28" t="s">
        <v>72</v>
      </c>
      <c r="K176" s="28"/>
      <c r="L176" s="50">
        <v>1800</v>
      </c>
      <c r="M176" s="48"/>
      <c r="N176" s="50">
        <v>1800</v>
      </c>
      <c r="O176" s="28"/>
      <c r="P176" s="37" t="s">
        <v>920</v>
      </c>
      <c r="Q176" s="28">
        <f>IF(OR(Table810[[#This Row],[Post-Review Decision]]="Include", Table810[[#This Row],[Post-Review Decision]]="Include if possible", Table810[[#This Row],[Post-Review Decision]]="Include (Omit % Avg if needed)",  Table810[[#This Row],[Post-Review Decision]]="Include (Omit % Avg)"),Table810[[#This Row],[EAR Total Capacity]],"")</f>
        <v>1800</v>
      </c>
      <c r="R176" s="28">
        <v>1744</v>
      </c>
      <c r="S176" s="46">
        <v>1744</v>
      </c>
      <c r="T176" s="28" t="s">
        <v>918</v>
      </c>
      <c r="U176" s="28" t="s">
        <v>921</v>
      </c>
      <c r="V176" s="13" t="s">
        <v>889</v>
      </c>
      <c r="W176" s="12" t="b">
        <f>ISNUMBER(Table810[[#This Row],[EAR Total Capacity]])</f>
        <v>1</v>
      </c>
      <c r="X176" s="12" t="b">
        <f>IF(Table810[[#This Row],[Has  Storage for Full Averaging Period?]]="OK",TRUE,FALSE)</f>
        <v>0</v>
      </c>
      <c r="Y176" s="12" t="b">
        <f>IFERROR(IF(YEAR(Table810[[#This Row],[RISE Storage End Date]])=2025,TRUE,FALSE),FALSE)</f>
        <v>0</v>
      </c>
      <c r="Z176" s="11" t="b">
        <v>0</v>
      </c>
      <c r="AA176" s="13">
        <v>150</v>
      </c>
      <c r="AB176" s="13" t="s">
        <v>76</v>
      </c>
      <c r="AC176" s="13" t="s">
        <v>922</v>
      </c>
      <c r="AD176" s="13" t="s">
        <v>918</v>
      </c>
      <c r="AE176" s="13" t="s">
        <v>78</v>
      </c>
      <c r="AF176" s="13" t="s">
        <v>923</v>
      </c>
      <c r="AG176" s="13" t="s">
        <v>91</v>
      </c>
      <c r="AH176" s="13" t="s">
        <v>92</v>
      </c>
      <c r="AI176" s="13" t="s">
        <v>924</v>
      </c>
      <c r="AJ176" s="14">
        <v>1800</v>
      </c>
      <c r="AK176" s="18"/>
      <c r="AL176" s="18"/>
      <c r="AM176" s="13" t="s">
        <v>923</v>
      </c>
      <c r="AN176" s="13" t="s">
        <v>95</v>
      </c>
      <c r="AO176" s="13" t="s">
        <v>275</v>
      </c>
      <c r="AP176" s="13" t="s">
        <v>275</v>
      </c>
      <c r="AQ176" s="21" t="s">
        <v>64</v>
      </c>
      <c r="AR176" s="26">
        <v>34830</v>
      </c>
      <c r="AS176" s="26">
        <v>43330</v>
      </c>
      <c r="AT176" s="25">
        <v>3732</v>
      </c>
      <c r="AU176" s="25" t="s">
        <v>66</v>
      </c>
      <c r="AV176" s="25" t="s">
        <v>66</v>
      </c>
      <c r="AW176" s="25" t="s">
        <v>66</v>
      </c>
      <c r="AX176" s="24" t="s">
        <v>925</v>
      </c>
    </row>
    <row r="177" spans="1:50" ht="16.5" customHeight="1">
      <c r="A177" s="36" t="s">
        <v>926</v>
      </c>
      <c r="B177" s="28" t="s">
        <v>68</v>
      </c>
      <c r="C177" s="28" t="s">
        <v>86</v>
      </c>
      <c r="D177" s="28"/>
      <c r="E177" s="28" t="s">
        <v>70</v>
      </c>
      <c r="F177" s="28">
        <v>353</v>
      </c>
      <c r="G177" s="28">
        <v>3</v>
      </c>
      <c r="H177" s="28" t="str">
        <f>IF(ISNUMBER(Table810[[#This Row],[Total Capacity]]),"USBR Enterprise Asset Registry",IF(Table810[[#This Row],[Total Capacity]]="",""))</f>
        <v>USBR Enterprise Asset Registry</v>
      </c>
      <c r="I177" s="28" t="s">
        <v>57</v>
      </c>
      <c r="J177" s="28" t="s">
        <v>72</v>
      </c>
      <c r="K177" s="28"/>
      <c r="L177" s="50">
        <v>153639</v>
      </c>
      <c r="M177" s="48"/>
      <c r="N177" s="50">
        <v>153639</v>
      </c>
      <c r="O177" s="28"/>
      <c r="P177" s="37"/>
      <c r="Q177" s="28">
        <f>IF(OR(Table810[[#This Row],[Post-Review Decision]]="Include", Table810[[#This Row],[Post-Review Decision]]="Include if possible", Table810[[#This Row],[Post-Review Decision]]="Include (Omit % Avg if needed)",  Table810[[#This Row],[Post-Review Decision]]="Include (Omit % Avg)"),Table810[[#This Row],[EAR Total Capacity]],"")</f>
        <v>153639</v>
      </c>
      <c r="R177" s="28">
        <v>112794</v>
      </c>
      <c r="S177" s="46">
        <v>146779</v>
      </c>
      <c r="T177" s="28" t="s">
        <v>926</v>
      </c>
      <c r="U177" s="28" t="s">
        <v>927</v>
      </c>
      <c r="V177" s="13" t="s">
        <v>264</v>
      </c>
      <c r="W177" s="12" t="b">
        <f>ISNUMBER(Table810[[#This Row],[EAR Total Capacity]])</f>
        <v>1</v>
      </c>
      <c r="X177" s="12" t="b">
        <f>IF(Table810[[#This Row],[Has  Storage for Full Averaging Period?]]="OK",TRUE,FALSE)</f>
        <v>1</v>
      </c>
      <c r="Y177" s="12" t="b">
        <f>IFERROR(IF(YEAR(Table810[[#This Row],[RISE Storage End Date]])=2025,TRUE,FALSE),FALSE)</f>
        <v>1</v>
      </c>
      <c r="Z177" s="11" t="b">
        <v>0</v>
      </c>
      <c r="AA177" s="13">
        <v>151</v>
      </c>
      <c r="AB177" s="13" t="s">
        <v>76</v>
      </c>
      <c r="AC177" s="13" t="s">
        <v>928</v>
      </c>
      <c r="AD177" s="13" t="s">
        <v>926</v>
      </c>
      <c r="AE177" s="13" t="s">
        <v>78</v>
      </c>
      <c r="AF177" s="13" t="s">
        <v>929</v>
      </c>
      <c r="AG177" s="13" t="s">
        <v>91</v>
      </c>
      <c r="AH177" s="13" t="s">
        <v>92</v>
      </c>
      <c r="AI177" s="13" t="s">
        <v>93</v>
      </c>
      <c r="AJ177" s="14">
        <v>153639</v>
      </c>
      <c r="AK177" s="18"/>
      <c r="AL177" s="18"/>
      <c r="AM177" s="13" t="s">
        <v>930</v>
      </c>
      <c r="AN177" s="13" t="s">
        <v>63</v>
      </c>
      <c r="AO177" s="13" t="s">
        <v>926</v>
      </c>
      <c r="AP177" s="13" t="s">
        <v>926</v>
      </c>
      <c r="AQ177" s="21" t="s">
        <v>64</v>
      </c>
      <c r="AR177" s="26">
        <v>16711</v>
      </c>
      <c r="AS177" s="26">
        <v>46007</v>
      </c>
      <c r="AT177" s="25">
        <v>27254</v>
      </c>
      <c r="AU177" s="25" t="s">
        <v>65</v>
      </c>
      <c r="AV177" s="25" t="s">
        <v>65</v>
      </c>
      <c r="AW177" s="25" t="s">
        <v>65</v>
      </c>
      <c r="AX177" s="24"/>
    </row>
    <row r="178" spans="1:50" ht="16.5" customHeight="1">
      <c r="A178" s="36" t="s">
        <v>931</v>
      </c>
      <c r="B178" s="28" t="s">
        <v>68</v>
      </c>
      <c r="C178" s="28" t="s">
        <v>321</v>
      </c>
      <c r="D178" s="28"/>
      <c r="E178" s="28" t="s">
        <v>70</v>
      </c>
      <c r="F178" s="28">
        <v>357</v>
      </c>
      <c r="G178" s="28">
        <v>3</v>
      </c>
      <c r="H178" s="28" t="str">
        <f>IF(ISNUMBER(Table810[[#This Row],[Total Capacity]]),"USBR Enterprise Asset Registry",IF(Table810[[#This Row],[Total Capacity]]="",""))</f>
        <v>USBR Enterprise Asset Registry</v>
      </c>
      <c r="I178" s="28" t="s">
        <v>57</v>
      </c>
      <c r="J178" s="28" t="s">
        <v>72</v>
      </c>
      <c r="K178" s="33"/>
      <c r="L178" s="50">
        <v>45612</v>
      </c>
      <c r="M178" s="48"/>
      <c r="N178" s="50">
        <v>45612</v>
      </c>
      <c r="O178" s="28"/>
      <c r="P178" s="37" t="s">
        <v>932</v>
      </c>
      <c r="Q178" s="28">
        <f>IF(OR(Table810[[#This Row],[Post-Review Decision]]="Include", Table810[[#This Row],[Post-Review Decision]]="Include if possible", Table810[[#This Row],[Post-Review Decision]]="Include (Omit % Avg if needed)",  Table810[[#This Row],[Post-Review Decision]]="Include (Omit % Avg)"),Table810[[#This Row],[EAR Total Capacity]],"")</f>
        <v>45612</v>
      </c>
      <c r="R178" s="28">
        <v>45612</v>
      </c>
      <c r="S178" s="46">
        <v>45612</v>
      </c>
      <c r="T178" s="28" t="s">
        <v>931</v>
      </c>
      <c r="U178" s="28" t="s">
        <v>933</v>
      </c>
      <c r="V178" s="13" t="s">
        <v>107</v>
      </c>
      <c r="W178" s="12" t="b">
        <f>ISNUMBER(Table810[[#This Row],[EAR Total Capacity]])</f>
        <v>1</v>
      </c>
      <c r="X178" s="12" t="b">
        <f>IF(Table810[[#This Row],[Has  Storage for Full Averaging Period?]]="OK",TRUE,FALSE)</f>
        <v>0</v>
      </c>
      <c r="Y178" s="12" t="b">
        <f>IFERROR(IF(YEAR(Table810[[#This Row],[RISE Storage End Date]])=2025,TRUE,FALSE),FALSE)</f>
        <v>1</v>
      </c>
      <c r="Z178" s="11" t="b">
        <v>0</v>
      </c>
      <c r="AA178" s="13">
        <v>152</v>
      </c>
      <c r="AB178" s="13" t="s">
        <v>76</v>
      </c>
      <c r="AC178" s="13" t="s">
        <v>934</v>
      </c>
      <c r="AD178" s="13" t="s">
        <v>931</v>
      </c>
      <c r="AE178" s="13" t="s">
        <v>78</v>
      </c>
      <c r="AF178" s="13" t="s">
        <v>935</v>
      </c>
      <c r="AG178" s="13" t="s">
        <v>91</v>
      </c>
      <c r="AH178" s="13" t="s">
        <v>92</v>
      </c>
      <c r="AI178" s="13" t="s">
        <v>93</v>
      </c>
      <c r="AJ178" s="14">
        <v>45612</v>
      </c>
      <c r="AK178" s="18"/>
      <c r="AL178" s="18"/>
      <c r="AM178" s="13" t="s">
        <v>936</v>
      </c>
      <c r="AN178" s="13" t="s">
        <v>95</v>
      </c>
      <c r="AO178" s="13" t="s">
        <v>931</v>
      </c>
      <c r="AP178" s="13" t="s">
        <v>931</v>
      </c>
      <c r="AQ178" s="21" t="s">
        <v>64</v>
      </c>
      <c r="AR178" s="26">
        <v>40235</v>
      </c>
      <c r="AS178" s="26">
        <v>46007</v>
      </c>
      <c r="AT178" s="25">
        <v>5766</v>
      </c>
      <c r="AU178" s="25" t="s">
        <v>66</v>
      </c>
      <c r="AV178" s="25" t="s">
        <v>65</v>
      </c>
      <c r="AW178" s="25" t="s">
        <v>66</v>
      </c>
      <c r="AX178" s="24"/>
    </row>
    <row r="179" spans="1:50" ht="16.5" customHeight="1">
      <c r="A179" s="36" t="s">
        <v>937</v>
      </c>
      <c r="B179" s="28"/>
      <c r="C179" s="28" t="s">
        <v>97</v>
      </c>
      <c r="D179" s="28"/>
      <c r="E179" s="28"/>
      <c r="F179" s="28" t="s">
        <v>61</v>
      </c>
      <c r="G179" s="28"/>
      <c r="H179" s="28" t="str">
        <f>IF(ISNUMBER(Table810[[#This Row],[Total Capacity]]),"USBR Enterprise Asset Registry",IF(Table810[[#This Row],[Total Capacity]]="",""))</f>
        <v/>
      </c>
      <c r="I179" s="28"/>
      <c r="J179" s="28"/>
      <c r="K179" s="28"/>
      <c r="L179" s="50" t="s">
        <v>98</v>
      </c>
      <c r="M179" s="48"/>
      <c r="N179" s="50" t="s">
        <v>98</v>
      </c>
      <c r="O179" s="28"/>
      <c r="P179" s="37" t="s">
        <v>938</v>
      </c>
      <c r="Q179" s="28" t="str">
        <f>IF(OR(Table810[[#This Row],[Post-Review Decision]]="Include", Table810[[#This Row],[Post-Review Decision]]="Include if possible", Table810[[#This Row],[Post-Review Decision]]="Include (Omit % Avg if needed)",  Table810[[#This Row],[Post-Review Decision]]="Include (Omit % Avg)"),Table810[[#This Row],[EAR Total Capacity]],"")</f>
        <v/>
      </c>
      <c r="R179" s="28"/>
      <c r="S179" s="45">
        <v>0</v>
      </c>
      <c r="T179" s="28"/>
      <c r="U179" s="28"/>
      <c r="V179" s="13" t="s">
        <v>939</v>
      </c>
      <c r="W179" s="12" t="b">
        <f>ISNUMBER(Table810[[#This Row],[EAR Total Capacity]])</f>
        <v>0</v>
      </c>
      <c r="X179" s="12" t="b">
        <f>IF(Table810[[#This Row],[Has  Storage for Full Averaging Period?]]="OK",TRUE,FALSE)</f>
        <v>0</v>
      </c>
      <c r="Y179" s="12" t="b">
        <f>IFERROR(IF(YEAR(Table810[[#This Row],[RISE Storage End Date]])=2025,TRUE,FALSE),FALSE)</f>
        <v>0</v>
      </c>
      <c r="Z179" s="11" t="b">
        <v>0</v>
      </c>
      <c r="AA179" s="13">
        <v>153</v>
      </c>
      <c r="AB179" s="13" t="s">
        <v>76</v>
      </c>
      <c r="AC179" s="13" t="s">
        <v>940</v>
      </c>
      <c r="AD179" s="13" t="s">
        <v>937</v>
      </c>
      <c r="AE179" s="13" t="s">
        <v>101</v>
      </c>
      <c r="AF179" s="13" t="s">
        <v>941</v>
      </c>
      <c r="AG179" s="13" t="s">
        <v>109</v>
      </c>
      <c r="AH179" s="13" t="s">
        <v>92</v>
      </c>
      <c r="AI179" s="13" t="s">
        <v>103</v>
      </c>
      <c r="AJ179" s="14"/>
      <c r="AK179" s="15"/>
      <c r="AL179" s="15"/>
      <c r="AM179" s="15" t="s">
        <v>61</v>
      </c>
      <c r="AN179" s="15" t="s">
        <v>61</v>
      </c>
      <c r="AO179" s="15" t="s">
        <v>61</v>
      </c>
      <c r="AP179" s="15" t="s">
        <v>61</v>
      </c>
      <c r="AQ179" s="22"/>
      <c r="AR179" s="25"/>
      <c r="AS179" s="25"/>
      <c r="AT179" s="25"/>
      <c r="AU179" s="25"/>
      <c r="AV179" s="25"/>
      <c r="AW179" s="25"/>
      <c r="AX179" s="24"/>
    </row>
    <row r="180" spans="1:50" ht="16.5" customHeight="1">
      <c r="A180" s="36" t="s">
        <v>942</v>
      </c>
      <c r="B180" s="28"/>
      <c r="C180" s="28" t="s">
        <v>97</v>
      </c>
      <c r="D180" s="28"/>
      <c r="E180" s="28"/>
      <c r="F180" s="28" t="s">
        <v>61</v>
      </c>
      <c r="G180" s="28"/>
      <c r="H180" s="28" t="str">
        <f>IF(ISNUMBER(Table810[[#This Row],[Total Capacity]]),"USBR Enterprise Asset Registry",IF(Table810[[#This Row],[Total Capacity]]="",""))</f>
        <v/>
      </c>
      <c r="I180" s="28"/>
      <c r="J180" s="28"/>
      <c r="K180" s="28"/>
      <c r="L180" s="50" t="s">
        <v>98</v>
      </c>
      <c r="M180" s="48"/>
      <c r="N180" s="50" t="s">
        <v>98</v>
      </c>
      <c r="O180" s="28"/>
      <c r="P180" s="37"/>
      <c r="Q180" s="28" t="str">
        <f>IF(OR(Table810[[#This Row],[Post-Review Decision]]="Include", Table810[[#This Row],[Post-Review Decision]]="Include if possible", Table810[[#This Row],[Post-Review Decision]]="Include (Omit % Avg if needed)",  Table810[[#This Row],[Post-Review Decision]]="Include (Omit % Avg)"),Table810[[#This Row],[EAR Total Capacity]],"")</f>
        <v/>
      </c>
      <c r="R180" s="28"/>
      <c r="S180" s="45">
        <v>0</v>
      </c>
      <c r="T180" s="28"/>
      <c r="U180" s="28"/>
      <c r="V180" s="13" t="s">
        <v>530</v>
      </c>
      <c r="W180" s="12" t="b">
        <f>ISNUMBER(Table810[[#This Row],[EAR Total Capacity]])</f>
        <v>0</v>
      </c>
      <c r="X180" s="12" t="b">
        <f>IF(Table810[[#This Row],[Has  Storage for Full Averaging Period?]]="OK",TRUE,FALSE)</f>
        <v>0</v>
      </c>
      <c r="Y180" s="12" t="b">
        <f>IFERROR(IF(YEAR(Table810[[#This Row],[RISE Storage End Date]])=2025,TRUE,FALSE),FALSE)</f>
        <v>0</v>
      </c>
      <c r="Z180" s="11" t="b">
        <v>0</v>
      </c>
      <c r="AA180" s="13">
        <v>154</v>
      </c>
      <c r="AB180" s="13" t="s">
        <v>76</v>
      </c>
      <c r="AC180" s="13" t="s">
        <v>943</v>
      </c>
      <c r="AD180" s="13" t="s">
        <v>942</v>
      </c>
      <c r="AE180" s="13" t="s">
        <v>101</v>
      </c>
      <c r="AF180" s="13" t="s">
        <v>944</v>
      </c>
      <c r="AG180" s="13" t="s">
        <v>91</v>
      </c>
      <c r="AH180" s="13" t="s">
        <v>102</v>
      </c>
      <c r="AI180" s="13" t="s">
        <v>103</v>
      </c>
      <c r="AJ180" s="14"/>
      <c r="AK180" s="15"/>
      <c r="AL180" s="15"/>
      <c r="AM180" s="15" t="s">
        <v>61</v>
      </c>
      <c r="AN180" s="15" t="s">
        <v>61</v>
      </c>
      <c r="AO180" s="15" t="s">
        <v>61</v>
      </c>
      <c r="AP180" s="15" t="s">
        <v>61</v>
      </c>
      <c r="AQ180" s="22"/>
      <c r="AR180" s="25"/>
      <c r="AS180" s="25"/>
      <c r="AT180" s="25"/>
      <c r="AU180" s="25"/>
      <c r="AV180" s="25"/>
      <c r="AW180" s="25"/>
      <c r="AX180" s="24"/>
    </row>
    <row r="181" spans="1:50" ht="16.5" customHeight="1">
      <c r="A181" s="36" t="s">
        <v>945</v>
      </c>
      <c r="B181" s="28"/>
      <c r="C181" s="28" t="s">
        <v>97</v>
      </c>
      <c r="D181" s="28"/>
      <c r="E181" s="28"/>
      <c r="F181" s="28" t="s">
        <v>61</v>
      </c>
      <c r="G181" s="28"/>
      <c r="H181" s="28" t="str">
        <f>IF(ISNUMBER(Table810[[#This Row],[Total Capacity]]),"USBR Enterprise Asset Registry",IF(Table810[[#This Row],[Total Capacity]]="",""))</f>
        <v/>
      </c>
      <c r="I181" s="28"/>
      <c r="J181" s="28"/>
      <c r="K181" s="28"/>
      <c r="L181" s="50" t="s">
        <v>98</v>
      </c>
      <c r="M181" s="48"/>
      <c r="N181" s="50" t="s">
        <v>98</v>
      </c>
      <c r="O181" s="28"/>
      <c r="P181" s="37"/>
      <c r="Q181" s="28" t="str">
        <f>IF(OR(Table810[[#This Row],[Post-Review Decision]]="Include", Table810[[#This Row],[Post-Review Decision]]="Include if possible", Table810[[#This Row],[Post-Review Decision]]="Include (Omit % Avg if needed)",  Table810[[#This Row],[Post-Review Decision]]="Include (Omit % Avg)"),Table810[[#This Row],[EAR Total Capacity]],"")</f>
        <v/>
      </c>
      <c r="R181" s="28"/>
      <c r="S181" s="45">
        <v>0</v>
      </c>
      <c r="T181" s="28"/>
      <c r="U181" s="28"/>
      <c r="V181" s="13" t="s">
        <v>606</v>
      </c>
      <c r="W181" s="12" t="b">
        <f>ISNUMBER(Table810[[#This Row],[EAR Total Capacity]])</f>
        <v>0</v>
      </c>
      <c r="X181" s="12" t="b">
        <f>IF(Table810[[#This Row],[Has  Storage for Full Averaging Period?]]="OK",TRUE,FALSE)</f>
        <v>0</v>
      </c>
      <c r="Y181" s="12" t="b">
        <f>IFERROR(IF(YEAR(Table810[[#This Row],[RISE Storage End Date]])=2025,TRUE,FALSE),FALSE)</f>
        <v>0</v>
      </c>
      <c r="Z181" s="11" t="b">
        <v>0</v>
      </c>
      <c r="AA181" s="13">
        <v>155</v>
      </c>
      <c r="AB181" s="13" t="s">
        <v>76</v>
      </c>
      <c r="AC181" s="13" t="s">
        <v>946</v>
      </c>
      <c r="AD181" s="13" t="s">
        <v>945</v>
      </c>
      <c r="AE181" s="13" t="s">
        <v>101</v>
      </c>
      <c r="AF181" s="13" t="s">
        <v>947</v>
      </c>
      <c r="AG181" s="13" t="s">
        <v>91</v>
      </c>
      <c r="AH181" s="13" t="s">
        <v>102</v>
      </c>
      <c r="AI181" s="13" t="s">
        <v>103</v>
      </c>
      <c r="AJ181" s="14"/>
      <c r="AK181" s="15"/>
      <c r="AL181" s="15"/>
      <c r="AM181" s="15" t="s">
        <v>61</v>
      </c>
      <c r="AN181" s="15" t="s">
        <v>61</v>
      </c>
      <c r="AO181" s="15" t="s">
        <v>61</v>
      </c>
      <c r="AP181" s="15" t="s">
        <v>61</v>
      </c>
      <c r="AQ181" s="22"/>
      <c r="AR181" s="25"/>
      <c r="AS181" s="25"/>
      <c r="AT181" s="25"/>
      <c r="AU181" s="25"/>
      <c r="AV181" s="25"/>
      <c r="AW181" s="25"/>
      <c r="AX181" s="24"/>
    </row>
    <row r="182" spans="1:50" ht="16.5" customHeight="1">
      <c r="A182" s="36" t="s">
        <v>948</v>
      </c>
      <c r="B182" s="28"/>
      <c r="C182" s="28" t="s">
        <v>97</v>
      </c>
      <c r="D182" s="28"/>
      <c r="E182" s="28"/>
      <c r="F182" s="28" t="s">
        <v>61</v>
      </c>
      <c r="G182" s="28"/>
      <c r="H182" s="28" t="str">
        <f>IF(ISNUMBER(Table810[[#This Row],[Total Capacity]]),"USBR Enterprise Asset Registry",IF(Table810[[#This Row],[Total Capacity]]="",""))</f>
        <v/>
      </c>
      <c r="I182" s="28"/>
      <c r="J182" s="28"/>
      <c r="K182" s="28"/>
      <c r="L182" s="50" t="s">
        <v>98</v>
      </c>
      <c r="M182" s="48"/>
      <c r="N182" s="50" t="s">
        <v>98</v>
      </c>
      <c r="O182" s="28"/>
      <c r="P182" s="37"/>
      <c r="Q182" s="28" t="str">
        <f>IF(OR(Table810[[#This Row],[Post-Review Decision]]="Include", Table810[[#This Row],[Post-Review Decision]]="Include if possible", Table810[[#This Row],[Post-Review Decision]]="Include (Omit % Avg if needed)",  Table810[[#This Row],[Post-Review Decision]]="Include (Omit % Avg)"),Table810[[#This Row],[EAR Total Capacity]],"")</f>
        <v/>
      </c>
      <c r="R182" s="28"/>
      <c r="S182" s="45">
        <v>0</v>
      </c>
      <c r="T182" s="28"/>
      <c r="U182" s="28"/>
      <c r="V182" s="13" t="s">
        <v>442</v>
      </c>
      <c r="W182" s="12" t="b">
        <f>ISNUMBER(Table810[[#This Row],[EAR Total Capacity]])</f>
        <v>0</v>
      </c>
      <c r="X182" s="12" t="b">
        <f>IF(Table810[[#This Row],[Has  Storage for Full Averaging Period?]]="OK",TRUE,FALSE)</f>
        <v>0</v>
      </c>
      <c r="Y182" s="12" t="b">
        <f>IFERROR(IF(YEAR(Table810[[#This Row],[RISE Storage End Date]])=2025,TRUE,FALSE),FALSE)</f>
        <v>0</v>
      </c>
      <c r="Z182" s="11" t="b">
        <v>0</v>
      </c>
      <c r="AA182" s="13">
        <v>156</v>
      </c>
      <c r="AB182" s="13" t="s">
        <v>76</v>
      </c>
      <c r="AC182" s="13" t="s">
        <v>949</v>
      </c>
      <c r="AD182" s="13" t="s">
        <v>948</v>
      </c>
      <c r="AE182" s="13" t="s">
        <v>101</v>
      </c>
      <c r="AF182" s="13" t="s">
        <v>950</v>
      </c>
      <c r="AG182" s="13" t="s">
        <v>91</v>
      </c>
      <c r="AH182" s="13" t="s">
        <v>92</v>
      </c>
      <c r="AI182" s="13" t="s">
        <v>103</v>
      </c>
      <c r="AJ182" s="13"/>
      <c r="AK182" s="15"/>
      <c r="AL182" s="15"/>
      <c r="AM182" s="15" t="s">
        <v>61</v>
      </c>
      <c r="AN182" s="15" t="s">
        <v>61</v>
      </c>
      <c r="AO182" s="15" t="s">
        <v>61</v>
      </c>
      <c r="AP182" s="15" t="s">
        <v>61</v>
      </c>
      <c r="AQ182" s="22"/>
      <c r="AR182" s="25"/>
      <c r="AS182" s="25"/>
      <c r="AT182" s="25"/>
      <c r="AU182" s="25"/>
      <c r="AV182" s="25"/>
      <c r="AW182" s="25"/>
      <c r="AX182" s="24"/>
    </row>
    <row r="183" spans="1:50" ht="16.5" customHeight="1">
      <c r="A183" s="36" t="s">
        <v>951</v>
      </c>
      <c r="B183" s="28"/>
      <c r="C183" s="28" t="s">
        <v>97</v>
      </c>
      <c r="D183" s="28"/>
      <c r="E183" s="28"/>
      <c r="F183" s="28" t="s">
        <v>61</v>
      </c>
      <c r="G183" s="28"/>
      <c r="H183" s="28" t="str">
        <f>IF(ISNUMBER(Table810[[#This Row],[Total Capacity]]),"USBR Enterprise Asset Registry",IF(Table810[[#This Row],[Total Capacity]]="",""))</f>
        <v/>
      </c>
      <c r="I183" s="28"/>
      <c r="J183" s="28"/>
      <c r="K183" s="28"/>
      <c r="L183" s="50" t="s">
        <v>98</v>
      </c>
      <c r="M183" s="48"/>
      <c r="N183" s="50" t="s">
        <v>98</v>
      </c>
      <c r="O183" s="28"/>
      <c r="P183" s="37"/>
      <c r="Q183" s="28" t="str">
        <f>IF(OR(Table810[[#This Row],[Post-Review Decision]]="Include", Table810[[#This Row],[Post-Review Decision]]="Include if possible", Table810[[#This Row],[Post-Review Decision]]="Include (Omit % Avg if needed)",  Table810[[#This Row],[Post-Review Decision]]="Include (Omit % Avg)"),Table810[[#This Row],[EAR Total Capacity]],"")</f>
        <v/>
      </c>
      <c r="R183" s="28"/>
      <c r="S183" s="45">
        <v>0</v>
      </c>
      <c r="T183" s="28"/>
      <c r="U183" s="28"/>
      <c r="V183" s="13" t="s">
        <v>952</v>
      </c>
      <c r="W183" s="12" t="b">
        <f>ISNUMBER(Table810[[#This Row],[EAR Total Capacity]])</f>
        <v>0</v>
      </c>
      <c r="X183" s="12" t="b">
        <f>IF(Table810[[#This Row],[Has  Storage for Full Averaging Period?]]="OK",TRUE,FALSE)</f>
        <v>0</v>
      </c>
      <c r="Y183" s="12" t="b">
        <f>IFERROR(IF(YEAR(Table810[[#This Row],[RISE Storage End Date]])=2025,TRUE,FALSE),FALSE)</f>
        <v>0</v>
      </c>
      <c r="Z183" s="11" t="b">
        <v>0</v>
      </c>
      <c r="AA183" s="13">
        <v>157</v>
      </c>
      <c r="AB183" s="13" t="s">
        <v>76</v>
      </c>
      <c r="AC183" s="13" t="s">
        <v>953</v>
      </c>
      <c r="AD183" s="13" t="s">
        <v>951</v>
      </c>
      <c r="AE183" s="13" t="s">
        <v>101</v>
      </c>
      <c r="AF183" s="13" t="s">
        <v>954</v>
      </c>
      <c r="AG183" s="13" t="s">
        <v>91</v>
      </c>
      <c r="AH183" s="13" t="s">
        <v>102</v>
      </c>
      <c r="AI183" s="13" t="s">
        <v>103</v>
      </c>
      <c r="AJ183" s="14"/>
      <c r="AK183" s="15"/>
      <c r="AL183" s="15"/>
      <c r="AM183" s="15" t="s">
        <v>61</v>
      </c>
      <c r="AN183" s="15" t="s">
        <v>61</v>
      </c>
      <c r="AO183" s="15" t="s">
        <v>61</v>
      </c>
      <c r="AP183" s="15" t="s">
        <v>61</v>
      </c>
      <c r="AQ183" s="22"/>
      <c r="AR183" s="25"/>
      <c r="AS183" s="25"/>
      <c r="AT183" s="25"/>
      <c r="AU183" s="25"/>
      <c r="AV183" s="25"/>
      <c r="AW183" s="25"/>
      <c r="AX183" s="24"/>
    </row>
    <row r="184" spans="1:50" ht="16.5" customHeight="1">
      <c r="A184" s="36" t="s">
        <v>955</v>
      </c>
      <c r="B184" s="28"/>
      <c r="C184" s="28" t="s">
        <v>97</v>
      </c>
      <c r="D184" s="28"/>
      <c r="E184" s="28"/>
      <c r="F184" s="28" t="s">
        <v>61</v>
      </c>
      <c r="G184" s="28"/>
      <c r="H184" s="28" t="str">
        <f>IF(ISNUMBER(Table810[[#This Row],[Total Capacity]]),"USBR Enterprise Asset Registry",IF(Table810[[#This Row],[Total Capacity]]="",""))</f>
        <v/>
      </c>
      <c r="I184" s="28"/>
      <c r="J184" s="28"/>
      <c r="K184" s="28"/>
      <c r="L184" s="50" t="s">
        <v>98</v>
      </c>
      <c r="M184" s="48"/>
      <c r="N184" s="50" t="s">
        <v>98</v>
      </c>
      <c r="O184" s="28"/>
      <c r="P184" s="37"/>
      <c r="Q184" s="28" t="str">
        <f>IF(OR(Table810[[#This Row],[Post-Review Decision]]="Include", Table810[[#This Row],[Post-Review Decision]]="Include if possible", Table810[[#This Row],[Post-Review Decision]]="Include (Omit % Avg if needed)",  Table810[[#This Row],[Post-Review Decision]]="Include (Omit % Avg)"),Table810[[#This Row],[EAR Total Capacity]],"")</f>
        <v/>
      </c>
      <c r="R184" s="28"/>
      <c r="S184" s="45">
        <v>0</v>
      </c>
      <c r="T184" s="28"/>
      <c r="U184" s="28"/>
      <c r="V184" s="13" t="s">
        <v>438</v>
      </c>
      <c r="W184" s="12" t="b">
        <f>ISNUMBER(Table810[[#This Row],[EAR Total Capacity]])</f>
        <v>0</v>
      </c>
      <c r="X184" s="12" t="b">
        <f>IF(Table810[[#This Row],[Has  Storage for Full Averaging Period?]]="OK",TRUE,FALSE)</f>
        <v>0</v>
      </c>
      <c r="Y184" s="12" t="b">
        <f>IFERROR(IF(YEAR(Table810[[#This Row],[RISE Storage End Date]])=2025,TRUE,FALSE),FALSE)</f>
        <v>0</v>
      </c>
      <c r="Z184" s="11" t="b">
        <v>0</v>
      </c>
      <c r="AA184" s="13">
        <v>159</v>
      </c>
      <c r="AB184" s="13" t="s">
        <v>76</v>
      </c>
      <c r="AC184" s="13" t="s">
        <v>956</v>
      </c>
      <c r="AD184" s="13" t="s">
        <v>955</v>
      </c>
      <c r="AE184" s="13" t="s">
        <v>78</v>
      </c>
      <c r="AF184" s="13" t="s">
        <v>957</v>
      </c>
      <c r="AG184" s="13" t="s">
        <v>159</v>
      </c>
      <c r="AH184" s="13" t="s">
        <v>160</v>
      </c>
      <c r="AI184" s="13" t="s">
        <v>110</v>
      </c>
      <c r="AJ184" s="14"/>
      <c r="AK184" s="15"/>
      <c r="AL184" s="15"/>
      <c r="AM184" s="15" t="s">
        <v>61</v>
      </c>
      <c r="AN184" s="15" t="s">
        <v>61</v>
      </c>
      <c r="AO184" s="15" t="s">
        <v>61</v>
      </c>
      <c r="AP184" s="15" t="s">
        <v>61</v>
      </c>
      <c r="AQ184" s="21" t="s">
        <v>136</v>
      </c>
      <c r="AR184" s="25"/>
      <c r="AS184" s="25"/>
      <c r="AT184" s="25"/>
      <c r="AU184" s="25"/>
      <c r="AV184" s="25"/>
      <c r="AW184" s="25"/>
      <c r="AX184" s="24"/>
    </row>
    <row r="185" spans="1:50" ht="16.5" customHeight="1">
      <c r="A185" s="36" t="s">
        <v>958</v>
      </c>
      <c r="B185" s="28"/>
      <c r="C185" s="28" t="s">
        <v>97</v>
      </c>
      <c r="D185" s="28"/>
      <c r="E185" s="28"/>
      <c r="F185" s="28" t="s">
        <v>61</v>
      </c>
      <c r="G185" s="28"/>
      <c r="H185" s="28" t="str">
        <f>IF(ISNUMBER(Table810[[#This Row],[Total Capacity]]),"USBR Enterprise Asset Registry",IF(Table810[[#This Row],[Total Capacity]]="",""))</f>
        <v/>
      </c>
      <c r="I185" s="28"/>
      <c r="J185" s="28"/>
      <c r="K185" s="28"/>
      <c r="L185" s="50" t="s">
        <v>98</v>
      </c>
      <c r="M185" s="48"/>
      <c r="N185" s="50" t="s">
        <v>98</v>
      </c>
      <c r="O185" s="28"/>
      <c r="P185" s="37"/>
      <c r="Q185" s="28" t="str">
        <f>IF(OR(Table810[[#This Row],[Post-Review Decision]]="Include", Table810[[#This Row],[Post-Review Decision]]="Include if possible", Table810[[#This Row],[Post-Review Decision]]="Include (Omit % Avg if needed)",  Table810[[#This Row],[Post-Review Decision]]="Include (Omit % Avg)"),Table810[[#This Row],[EAR Total Capacity]],"")</f>
        <v/>
      </c>
      <c r="R185" s="28"/>
      <c r="S185" s="45">
        <v>0</v>
      </c>
      <c r="T185" s="28"/>
      <c r="U185" s="28"/>
      <c r="V185" s="13" t="s">
        <v>251</v>
      </c>
      <c r="W185" s="12" t="b">
        <f>ISNUMBER(Table810[[#This Row],[EAR Total Capacity]])</f>
        <v>0</v>
      </c>
      <c r="X185" s="12" t="b">
        <f>IF(Table810[[#This Row],[Has  Storage for Full Averaging Period?]]="OK",TRUE,FALSE)</f>
        <v>0</v>
      </c>
      <c r="Y185" s="12" t="b">
        <f>IFERROR(IF(YEAR(Table810[[#This Row],[RISE Storage End Date]])=2025,TRUE,FALSE),FALSE)</f>
        <v>0</v>
      </c>
      <c r="Z185" s="11" t="b">
        <v>0</v>
      </c>
      <c r="AA185" s="13">
        <v>160</v>
      </c>
      <c r="AB185" s="13" t="s">
        <v>76</v>
      </c>
      <c r="AC185" s="13" t="s">
        <v>959</v>
      </c>
      <c r="AD185" s="13" t="s">
        <v>958</v>
      </c>
      <c r="AE185" s="13" t="s">
        <v>101</v>
      </c>
      <c r="AF185" s="13" t="s">
        <v>960</v>
      </c>
      <c r="AG185" s="13" t="s">
        <v>80</v>
      </c>
      <c r="AH185" s="13" t="s">
        <v>81</v>
      </c>
      <c r="AI185" s="13" t="s">
        <v>103</v>
      </c>
      <c r="AJ185" s="14"/>
      <c r="AK185" s="15"/>
      <c r="AL185" s="15"/>
      <c r="AM185" s="15" t="s">
        <v>61</v>
      </c>
      <c r="AN185" s="15" t="s">
        <v>61</v>
      </c>
      <c r="AO185" s="15" t="s">
        <v>61</v>
      </c>
      <c r="AP185" s="15" t="s">
        <v>61</v>
      </c>
      <c r="AQ185" s="22"/>
      <c r="AR185" s="25"/>
      <c r="AS185" s="25"/>
      <c r="AT185" s="25"/>
      <c r="AU185" s="25"/>
      <c r="AV185" s="25"/>
      <c r="AW185" s="25"/>
      <c r="AX185" s="24"/>
    </row>
    <row r="186" spans="1:50" ht="16.5" customHeight="1">
      <c r="A186" s="36" t="s">
        <v>961</v>
      </c>
      <c r="B186" s="28" t="s">
        <v>68</v>
      </c>
      <c r="C186" s="29" t="s">
        <v>52</v>
      </c>
      <c r="D186" s="28" t="s">
        <v>125</v>
      </c>
      <c r="E186" s="28" t="s">
        <v>126</v>
      </c>
      <c r="F186" s="28">
        <v>3650</v>
      </c>
      <c r="G186" s="28">
        <v>3</v>
      </c>
      <c r="H186" s="28" t="str">
        <f>IF(ISNUMBER(Table810[[#This Row],[Total Capacity]]),"USBR Enterprise Asset Registry",IF(Table810[[#This Row],[Total Capacity]]="",""))</f>
        <v>USBR Enterprise Asset Registry</v>
      </c>
      <c r="I186" s="28" t="s">
        <v>57</v>
      </c>
      <c r="J186" s="28" t="s">
        <v>127</v>
      </c>
      <c r="K186" s="33">
        <v>52714</v>
      </c>
      <c r="L186" s="50">
        <v>34647</v>
      </c>
      <c r="M186" s="48"/>
      <c r="N186" s="50">
        <v>34647</v>
      </c>
      <c r="O186" s="28"/>
      <c r="P186" s="38" t="s">
        <v>962</v>
      </c>
      <c r="Q186" s="28">
        <f>IF(OR(Table810[[#This Row],[Post-Review Decision]]="Include", Table810[[#This Row],[Post-Review Decision]]="Include if possible", Table810[[#This Row],[Post-Review Decision]]="Include (Omit % Avg if needed)",  Table810[[#This Row],[Post-Review Decision]]="Include (Omit % Avg)"),Table810[[#This Row],[EAR Total Capacity]],"")</f>
        <v>87361</v>
      </c>
      <c r="R186" s="28">
        <v>79464</v>
      </c>
      <c r="S186" s="46">
        <v>83953</v>
      </c>
      <c r="T186" s="28" t="s">
        <v>963</v>
      </c>
      <c r="U186" s="28" t="s">
        <v>964</v>
      </c>
      <c r="V186" s="13" t="s">
        <v>220</v>
      </c>
      <c r="W186" s="12" t="b">
        <f>ISNUMBER(Table810[[#This Row],[EAR Total Capacity]])</f>
        <v>1</v>
      </c>
      <c r="X186" s="12" t="b">
        <f>IF(Table810[[#This Row],[Has  Storage for Full Averaging Period?]]="OK",TRUE,FALSE)</f>
        <v>0</v>
      </c>
      <c r="Y186" s="12" t="b">
        <f>IFERROR(IF(YEAR(Table810[[#This Row],[RISE Storage End Date]])=2025,TRUE,FALSE),FALSE)</f>
        <v>0</v>
      </c>
      <c r="Z186" s="11" t="b">
        <v>0</v>
      </c>
      <c r="AA186" s="13">
        <v>161</v>
      </c>
      <c r="AB186" s="13" t="s">
        <v>76</v>
      </c>
      <c r="AC186" s="13" t="s">
        <v>965</v>
      </c>
      <c r="AD186" s="13" t="s">
        <v>961</v>
      </c>
      <c r="AE186" s="13" t="s">
        <v>78</v>
      </c>
      <c r="AF186" s="13" t="s">
        <v>966</v>
      </c>
      <c r="AG186" s="13" t="s">
        <v>109</v>
      </c>
      <c r="AH186" s="13" t="s">
        <v>92</v>
      </c>
      <c r="AI186" s="13" t="s">
        <v>93</v>
      </c>
      <c r="AJ186" s="14">
        <v>87361</v>
      </c>
      <c r="AK186" s="18"/>
      <c r="AL186" s="18"/>
      <c r="AM186" s="13" t="s">
        <v>967</v>
      </c>
      <c r="AN186" s="13" t="s">
        <v>95</v>
      </c>
      <c r="AO186" s="11" t="s">
        <v>961</v>
      </c>
      <c r="AP186" s="11" t="s">
        <v>968</v>
      </c>
      <c r="AQ186" s="21" t="s">
        <v>136</v>
      </c>
      <c r="AR186" s="25"/>
      <c r="AS186" s="25"/>
      <c r="AT186" s="25"/>
      <c r="AU186" s="25"/>
      <c r="AV186" s="25"/>
      <c r="AW186" s="25"/>
      <c r="AX186" s="24"/>
    </row>
    <row r="187" spans="1:50" ht="16.5" customHeight="1">
      <c r="A187" s="36" t="s">
        <v>969</v>
      </c>
      <c r="B187" s="28" t="s">
        <v>68</v>
      </c>
      <c r="C187" s="28" t="s">
        <v>86</v>
      </c>
      <c r="D187" s="28"/>
      <c r="E187" s="28" t="s">
        <v>70</v>
      </c>
      <c r="F187" s="28">
        <v>3515</v>
      </c>
      <c r="G187" s="28">
        <v>3</v>
      </c>
      <c r="H187" s="28" t="str">
        <f>IF(ISNUMBER(Table810[[#This Row],[Total Capacity]]),"USBR Enterprise Asset Registry",IF(Table810[[#This Row],[Total Capacity]]="",""))</f>
        <v>USBR Enterprise Asset Registry</v>
      </c>
      <c r="I187" s="28" t="s">
        <v>257</v>
      </c>
      <c r="J187" s="28" t="s">
        <v>72</v>
      </c>
      <c r="K187" s="28"/>
      <c r="L187" s="50">
        <v>570253</v>
      </c>
      <c r="M187" s="48"/>
      <c r="N187" s="50">
        <v>570253</v>
      </c>
      <c r="O187" s="28"/>
      <c r="P187" s="37"/>
      <c r="Q187" s="28">
        <f>IF(OR(Table810[[#This Row],[Post-Review Decision]]="Include", Table810[[#This Row],[Post-Review Decision]]="Include if possible", Table810[[#This Row],[Post-Review Decision]]="Include (Omit % Avg if needed)",  Table810[[#This Row],[Post-Review Decision]]="Include (Omit % Avg)"),Table810[[#This Row],[EAR Total Capacity]],"")</f>
        <v>590262</v>
      </c>
      <c r="R187" s="28">
        <v>180000</v>
      </c>
      <c r="S187" s="46">
        <v>570253</v>
      </c>
      <c r="T187" s="28" t="s">
        <v>970</v>
      </c>
      <c r="U187" s="28" t="s">
        <v>971</v>
      </c>
      <c r="V187" s="13" t="s">
        <v>972</v>
      </c>
      <c r="W187" s="12" t="b">
        <f>ISNUMBER(Table810[[#This Row],[EAR Total Capacity]])</f>
        <v>1</v>
      </c>
      <c r="X187" s="12" t="b">
        <f>IF(Table810[[#This Row],[Has  Storage for Full Averaging Period?]]="OK",TRUE,FALSE)</f>
        <v>1</v>
      </c>
      <c r="Y187" s="12" t="b">
        <f>IFERROR(IF(YEAR(Table810[[#This Row],[RISE Storage End Date]])=2025,TRUE,FALSE),FALSE)</f>
        <v>1</v>
      </c>
      <c r="Z187" s="11" t="b">
        <v>0</v>
      </c>
      <c r="AA187" s="13">
        <v>217</v>
      </c>
      <c r="AB187" s="13" t="s">
        <v>76</v>
      </c>
      <c r="AC187" s="13" t="s">
        <v>973</v>
      </c>
      <c r="AD187" s="13" t="s">
        <v>969</v>
      </c>
      <c r="AE187" s="13" t="s">
        <v>78</v>
      </c>
      <c r="AF187" s="13" t="s">
        <v>974</v>
      </c>
      <c r="AG187" s="13" t="s">
        <v>179</v>
      </c>
      <c r="AH187" s="13" t="s">
        <v>180</v>
      </c>
      <c r="AI187" s="13" t="s">
        <v>93</v>
      </c>
      <c r="AJ187" s="13">
        <v>590262</v>
      </c>
      <c r="AK187" s="18"/>
      <c r="AL187" s="18"/>
      <c r="AM187" s="13" t="s">
        <v>975</v>
      </c>
      <c r="AN187" s="13" t="s">
        <v>183</v>
      </c>
      <c r="AO187" s="13" t="s">
        <v>969</v>
      </c>
      <c r="AP187" s="13" t="s">
        <v>976</v>
      </c>
      <c r="AQ187" s="21" t="s">
        <v>64</v>
      </c>
      <c r="AR187" s="26">
        <v>14154</v>
      </c>
      <c r="AS187" s="26">
        <v>46007</v>
      </c>
      <c r="AT187" s="25">
        <v>31855</v>
      </c>
      <c r="AU187" s="25" t="s">
        <v>65</v>
      </c>
      <c r="AV187" s="25" t="s">
        <v>65</v>
      </c>
      <c r="AW187" s="25" t="s">
        <v>65</v>
      </c>
      <c r="AX187" s="24"/>
    </row>
    <row r="188" spans="1:50" ht="16.5" customHeight="1">
      <c r="A188" s="36" t="s">
        <v>977</v>
      </c>
      <c r="B188" s="28" t="s">
        <v>68</v>
      </c>
      <c r="C188" s="28" t="s">
        <v>69</v>
      </c>
      <c r="D188" s="28"/>
      <c r="E188" s="28" t="s">
        <v>70</v>
      </c>
      <c r="F188" s="28">
        <v>7179</v>
      </c>
      <c r="G188" s="28">
        <v>3</v>
      </c>
      <c r="H188" s="28" t="str">
        <f>IF(ISNUMBER(Table810[[#This Row],[Total Capacity]]),"USBR Enterprise Asset Registry",IF(Table810[[#This Row],[Total Capacity]]="",""))</f>
        <v>USBR Enterprise Asset Registry</v>
      </c>
      <c r="I188" s="28" t="s">
        <v>71</v>
      </c>
      <c r="J188" s="28" t="s">
        <v>72</v>
      </c>
      <c r="K188" s="28"/>
      <c r="L188" s="50">
        <v>5635</v>
      </c>
      <c r="M188" s="48"/>
      <c r="N188" s="50">
        <v>5635</v>
      </c>
      <c r="O188" s="28"/>
      <c r="P188" s="37"/>
      <c r="Q188" s="28">
        <f>IF(OR(Table810[[#This Row],[Post-Review Decision]]="Include", Table810[[#This Row],[Post-Review Decision]]="Include if possible", Table810[[#This Row],[Post-Review Decision]]="Include (Omit % Avg if needed)",  Table810[[#This Row],[Post-Review Decision]]="Include (Omit % Avg)"),Table810[[#This Row],[EAR Total Capacity]],"")</f>
        <v>5650</v>
      </c>
      <c r="R188" s="28">
        <v>5635</v>
      </c>
      <c r="S188" s="46">
        <v>5635</v>
      </c>
      <c r="T188" s="28" t="s">
        <v>977</v>
      </c>
      <c r="U188" s="28" t="s">
        <v>978</v>
      </c>
      <c r="V188" s="13" t="s">
        <v>579</v>
      </c>
      <c r="W188" s="12" t="b">
        <f>ISNUMBER(Table810[[#This Row],[EAR Total Capacity]])</f>
        <v>1</v>
      </c>
      <c r="X188" s="12" t="s">
        <v>75</v>
      </c>
      <c r="Y188" s="12" t="b">
        <f>IFERROR(IF(YEAR(Table810[[#This Row],[RISE Storage End Date]])=2025,TRUE,FALSE),FALSE)</f>
        <v>0</v>
      </c>
      <c r="Z188" s="11" t="b">
        <v>0</v>
      </c>
      <c r="AA188" s="13">
        <v>162</v>
      </c>
      <c r="AB188" s="13" t="s">
        <v>76</v>
      </c>
      <c r="AC188" s="13" t="s">
        <v>979</v>
      </c>
      <c r="AD188" s="13" t="s">
        <v>977</v>
      </c>
      <c r="AE188" s="13" t="s">
        <v>78</v>
      </c>
      <c r="AF188" s="13" t="s">
        <v>980</v>
      </c>
      <c r="AG188" s="13" t="s">
        <v>80</v>
      </c>
      <c r="AH188" s="13" t="s">
        <v>81</v>
      </c>
      <c r="AI188" s="13" t="s">
        <v>82</v>
      </c>
      <c r="AJ188" s="19">
        <v>5650</v>
      </c>
      <c r="AK188" s="18"/>
      <c r="AL188" s="18"/>
      <c r="AM188" s="13" t="s">
        <v>981</v>
      </c>
      <c r="AN188" s="13" t="s">
        <v>84</v>
      </c>
      <c r="AO188" s="13" t="s">
        <v>977</v>
      </c>
      <c r="AP188" s="13" t="s">
        <v>977</v>
      </c>
      <c r="AQ188" s="21" t="s">
        <v>64</v>
      </c>
      <c r="AR188" s="25"/>
      <c r="AS188" s="25"/>
      <c r="AT188" s="25"/>
      <c r="AU188" s="25"/>
      <c r="AV188" s="25"/>
      <c r="AW188" s="25"/>
      <c r="AX188" s="24"/>
    </row>
    <row r="189" spans="1:50" ht="16.5" customHeight="1">
      <c r="A189" s="36" t="s">
        <v>982</v>
      </c>
      <c r="B189" s="28"/>
      <c r="C189" s="28" t="s">
        <v>97</v>
      </c>
      <c r="D189" s="28"/>
      <c r="E189" s="28"/>
      <c r="F189" s="28" t="s">
        <v>61</v>
      </c>
      <c r="G189" s="28"/>
      <c r="H189" s="28" t="str">
        <f>IF(ISNUMBER(Table810[[#This Row],[Total Capacity]]),"USBR Enterprise Asset Registry",IF(Table810[[#This Row],[Total Capacity]]="",""))</f>
        <v/>
      </c>
      <c r="I189" s="28"/>
      <c r="J189" s="28"/>
      <c r="K189" s="28"/>
      <c r="L189" s="50" t="s">
        <v>98</v>
      </c>
      <c r="M189" s="48"/>
      <c r="N189" s="50" t="s">
        <v>98</v>
      </c>
      <c r="O189" s="28"/>
      <c r="P189" s="37"/>
      <c r="Q189" s="28" t="str">
        <f>IF(OR(Table810[[#This Row],[Post-Review Decision]]="Include", Table810[[#This Row],[Post-Review Decision]]="Include if possible", Table810[[#This Row],[Post-Review Decision]]="Include (Omit % Avg if needed)",  Table810[[#This Row],[Post-Review Decision]]="Include (Omit % Avg)"),Table810[[#This Row],[EAR Total Capacity]],"")</f>
        <v/>
      </c>
      <c r="R189" s="28"/>
      <c r="S189" s="45">
        <v>0</v>
      </c>
      <c r="T189" s="28"/>
      <c r="U189" s="28"/>
      <c r="V189" s="13" t="s">
        <v>341</v>
      </c>
      <c r="W189" s="12" t="b">
        <f>ISNUMBER(Table810[[#This Row],[EAR Total Capacity]])</f>
        <v>0</v>
      </c>
      <c r="X189" s="12" t="b">
        <f>IF(Table810[[#This Row],[Has  Storage for Full Averaging Period?]]="OK",TRUE,FALSE)</f>
        <v>0</v>
      </c>
      <c r="Y189" s="12" t="b">
        <f>IFERROR(IF(YEAR(Table810[[#This Row],[RISE Storage End Date]])=2025,TRUE,FALSE),FALSE)</f>
        <v>0</v>
      </c>
      <c r="Z189" s="11" t="b">
        <v>0</v>
      </c>
      <c r="AA189" s="13">
        <v>163</v>
      </c>
      <c r="AB189" s="13" t="s">
        <v>76</v>
      </c>
      <c r="AC189" s="13" t="s">
        <v>983</v>
      </c>
      <c r="AD189" s="13" t="s">
        <v>982</v>
      </c>
      <c r="AE189" s="13" t="s">
        <v>343</v>
      </c>
      <c r="AF189" s="13" t="s">
        <v>344</v>
      </c>
      <c r="AG189" s="13" t="s">
        <v>109</v>
      </c>
      <c r="AH189" s="13" t="s">
        <v>92</v>
      </c>
      <c r="AI189" s="13" t="s">
        <v>110</v>
      </c>
      <c r="AJ189" s="14"/>
      <c r="AK189" s="15"/>
      <c r="AL189" s="15"/>
      <c r="AM189" s="15" t="s">
        <v>61</v>
      </c>
      <c r="AN189" s="15" t="s">
        <v>61</v>
      </c>
      <c r="AO189" s="15" t="s">
        <v>61</v>
      </c>
      <c r="AP189" s="15" t="s">
        <v>61</v>
      </c>
      <c r="AQ189" s="21" t="s">
        <v>136</v>
      </c>
      <c r="AR189" s="25"/>
      <c r="AS189" s="25"/>
      <c r="AT189" s="25"/>
      <c r="AU189" s="25"/>
      <c r="AV189" s="25"/>
      <c r="AW189" s="25"/>
      <c r="AX189" s="24"/>
    </row>
    <row r="190" spans="1:50" ht="16.5" customHeight="1">
      <c r="A190" s="36" t="s">
        <v>984</v>
      </c>
      <c r="B190" s="28" t="s">
        <v>68</v>
      </c>
      <c r="C190" s="28" t="s">
        <v>52</v>
      </c>
      <c r="D190" s="28" t="s">
        <v>125</v>
      </c>
      <c r="E190" s="28" t="s">
        <v>126</v>
      </c>
      <c r="F190" s="28">
        <v>7301</v>
      </c>
      <c r="G190" s="28">
        <v>3</v>
      </c>
      <c r="H190" s="28" t="str">
        <f>IF(ISNUMBER(Table810[[#This Row],[Total Capacity]]),"USBR Enterprise Asset Registry",IF(Table810[[#This Row],[Total Capacity]]="",""))</f>
        <v>USBR Enterprise Asset Registry</v>
      </c>
      <c r="I190" s="28" t="s">
        <v>57</v>
      </c>
      <c r="J190" s="28" t="s">
        <v>72</v>
      </c>
      <c r="K190" s="28"/>
      <c r="L190" s="50">
        <v>10451</v>
      </c>
      <c r="M190" s="48"/>
      <c r="N190" s="50">
        <v>10451</v>
      </c>
      <c r="O190" s="28"/>
      <c r="P190" s="37" t="s">
        <v>985</v>
      </c>
      <c r="Q190" s="28">
        <f>IF(OR(Table810[[#This Row],[Post-Review Decision]]="Include", Table810[[#This Row],[Post-Review Decision]]="Include if possible", Table810[[#This Row],[Post-Review Decision]]="Include (Omit % Avg if needed)",  Table810[[#This Row],[Post-Review Decision]]="Include (Omit % Avg)"),Table810[[#This Row],[EAR Total Capacity]],"")</f>
        <v>10451</v>
      </c>
      <c r="R190" s="28">
        <v>5897</v>
      </c>
      <c r="S190" s="46">
        <v>9187</v>
      </c>
      <c r="T190" s="28" t="s">
        <v>984</v>
      </c>
      <c r="U190" s="28" t="s">
        <v>986</v>
      </c>
      <c r="V190" s="13" t="s">
        <v>987</v>
      </c>
      <c r="W190" s="12" t="b">
        <f>ISNUMBER(Table810[[#This Row],[EAR Total Capacity]])</f>
        <v>1</v>
      </c>
      <c r="X190" s="12" t="b">
        <f>IF(Table810[[#This Row],[Has  Storage for Full Averaging Period?]]="OK",TRUE,FALSE)</f>
        <v>0</v>
      </c>
      <c r="Y190" s="12" t="b">
        <f>IFERROR(IF(YEAR(Table810[[#This Row],[RISE Storage End Date]])=2025,TRUE,FALSE),FALSE)</f>
        <v>0</v>
      </c>
      <c r="Z190" s="11" t="b">
        <v>0</v>
      </c>
      <c r="AA190" s="13">
        <v>164</v>
      </c>
      <c r="AB190" s="13" t="s">
        <v>76</v>
      </c>
      <c r="AC190" s="13" t="s">
        <v>988</v>
      </c>
      <c r="AD190" s="13" t="s">
        <v>984</v>
      </c>
      <c r="AE190" s="13" t="s">
        <v>78</v>
      </c>
      <c r="AF190" s="13" t="s">
        <v>989</v>
      </c>
      <c r="AG190" s="13" t="s">
        <v>109</v>
      </c>
      <c r="AH190" s="13" t="s">
        <v>92</v>
      </c>
      <c r="AI190" s="13" t="s">
        <v>82</v>
      </c>
      <c r="AJ190" s="14">
        <v>10451</v>
      </c>
      <c r="AK190" s="15">
        <v>-111.8828</v>
      </c>
      <c r="AL190" s="15">
        <v>46.641300000000001</v>
      </c>
      <c r="AM190" s="15" t="s">
        <v>61</v>
      </c>
      <c r="AN190" s="15" t="s">
        <v>61</v>
      </c>
      <c r="AO190" s="15" t="s">
        <v>61</v>
      </c>
      <c r="AP190" s="15" t="s">
        <v>61</v>
      </c>
      <c r="AQ190" s="21" t="s">
        <v>136</v>
      </c>
      <c r="AR190" s="25"/>
      <c r="AS190" s="25"/>
      <c r="AT190" s="25"/>
      <c r="AU190" s="25"/>
      <c r="AV190" s="25"/>
      <c r="AW190" s="25"/>
      <c r="AX190" s="24"/>
    </row>
    <row r="191" spans="1:50" ht="16.5" customHeight="1">
      <c r="A191" s="36" t="s">
        <v>990</v>
      </c>
      <c r="B191" s="28" t="s">
        <v>68</v>
      </c>
      <c r="C191" s="28" t="s">
        <v>69</v>
      </c>
      <c r="D191" s="28"/>
      <c r="E191" s="28" t="s">
        <v>70</v>
      </c>
      <c r="F191" s="28">
        <v>3651</v>
      </c>
      <c r="G191" s="28">
        <v>3</v>
      </c>
      <c r="H191" s="28" t="str">
        <f>IF(ISNUMBER(Table810[[#This Row],[Total Capacity]]),"USBR Enterprise Asset Registry",IF(Table810[[#This Row],[Total Capacity]]="",""))</f>
        <v>USBR Enterprise Asset Registry</v>
      </c>
      <c r="I191" s="28" t="s">
        <v>71</v>
      </c>
      <c r="J191" s="28" t="s">
        <v>72</v>
      </c>
      <c r="K191" s="28"/>
      <c r="L191" s="50">
        <v>53323</v>
      </c>
      <c r="M191" s="48"/>
      <c r="N191" s="50">
        <v>53323</v>
      </c>
      <c r="O191" s="28"/>
      <c r="P191" s="37"/>
      <c r="Q191" s="28">
        <f>IF(OR(Table810[[#This Row],[Post-Review Decision]]="Include", Table810[[#This Row],[Post-Review Decision]]="Include if possible", Table810[[#This Row],[Post-Review Decision]]="Include (Omit % Avg if needed)",  Table810[[#This Row],[Post-Review Decision]]="Include (Omit % Avg)"),Table810[[#This Row],[EAR Total Capacity]],"")</f>
        <v>62216</v>
      </c>
      <c r="R191" s="28">
        <v>53323</v>
      </c>
      <c r="S191" s="46">
        <v>55943</v>
      </c>
      <c r="T191" s="28" t="s">
        <v>991</v>
      </c>
      <c r="U191" s="28" t="s">
        <v>992</v>
      </c>
      <c r="V191" s="13" t="s">
        <v>993</v>
      </c>
      <c r="W191" s="12" t="b">
        <f>ISNUMBER(Table810[[#This Row],[EAR Total Capacity]])</f>
        <v>1</v>
      </c>
      <c r="X191" s="12" t="s">
        <v>75</v>
      </c>
      <c r="Y191" s="12" t="b">
        <f>IFERROR(IF(YEAR(Table810[[#This Row],[RISE Storage End Date]])=2025,TRUE,FALSE),FALSE)</f>
        <v>0</v>
      </c>
      <c r="Z191" s="11" t="b">
        <v>0</v>
      </c>
      <c r="AA191" s="13">
        <v>165</v>
      </c>
      <c r="AB191" s="13" t="s">
        <v>76</v>
      </c>
      <c r="AC191" s="13" t="s">
        <v>994</v>
      </c>
      <c r="AD191" s="13" t="s">
        <v>990</v>
      </c>
      <c r="AE191" s="13" t="s">
        <v>78</v>
      </c>
      <c r="AF191" s="13" t="s">
        <v>995</v>
      </c>
      <c r="AG191" s="13" t="s">
        <v>80</v>
      </c>
      <c r="AH191" s="13" t="s">
        <v>81</v>
      </c>
      <c r="AI191" s="13" t="s">
        <v>93</v>
      </c>
      <c r="AJ191" s="19">
        <v>62216</v>
      </c>
      <c r="AK191" s="18"/>
      <c r="AL191" s="18"/>
      <c r="AM191" s="13" t="s">
        <v>996</v>
      </c>
      <c r="AN191" s="13" t="s">
        <v>84</v>
      </c>
      <c r="AO191" s="13" t="s">
        <v>990</v>
      </c>
      <c r="AP191" s="13" t="s">
        <v>997</v>
      </c>
      <c r="AQ191" s="21" t="s">
        <v>64</v>
      </c>
      <c r="AR191" s="25"/>
      <c r="AS191" s="25"/>
      <c r="AT191" s="25"/>
      <c r="AU191" s="25"/>
      <c r="AV191" s="25"/>
      <c r="AW191" s="25"/>
      <c r="AX191" s="24"/>
    </row>
    <row r="192" spans="1:50" ht="16.5" customHeight="1">
      <c r="A192" s="36" t="s">
        <v>998</v>
      </c>
      <c r="B192" s="28"/>
      <c r="C192" s="28" t="s">
        <v>97</v>
      </c>
      <c r="D192" s="28"/>
      <c r="E192" s="28"/>
      <c r="F192" s="28">
        <v>7180</v>
      </c>
      <c r="G192" s="28"/>
      <c r="H192" s="28" t="str">
        <f>IF(ISNUMBER(Table810[[#This Row],[Total Capacity]]),"USBR Enterprise Asset Registry",IF(Table810[[#This Row],[Total Capacity]]="",""))</f>
        <v/>
      </c>
      <c r="I192" s="28"/>
      <c r="J192" s="28"/>
      <c r="K192" s="28"/>
      <c r="L192" s="50" t="s">
        <v>98</v>
      </c>
      <c r="M192" s="48"/>
      <c r="N192" s="50" t="s">
        <v>98</v>
      </c>
      <c r="O192" s="28"/>
      <c r="P192" s="37"/>
      <c r="Q192" s="28" t="str">
        <f>IF(OR(Table810[[#This Row],[Post-Review Decision]]="Include", Table810[[#This Row],[Post-Review Decision]]="Include if possible", Table810[[#This Row],[Post-Review Decision]]="Include (Omit % Avg if needed)",  Table810[[#This Row],[Post-Review Decision]]="Include (Omit % Avg)"),Table810[[#This Row],[EAR Total Capacity]],"")</f>
        <v/>
      </c>
      <c r="R192" s="28"/>
      <c r="S192" s="45" t="s">
        <v>59</v>
      </c>
      <c r="T192" s="28"/>
      <c r="U192" s="28"/>
      <c r="V192" s="17" t="s">
        <v>61</v>
      </c>
      <c r="W192" s="12" t="b">
        <f>ISNUMBER(Table810[[#This Row],[EAR Total Capacity]])</f>
        <v>0</v>
      </c>
      <c r="X192" s="12" t="b">
        <f>IF(Table810[[#This Row],[Has  Storage for Full Averaging Period?]]="OK",TRUE,FALSE)</f>
        <v>0</v>
      </c>
      <c r="Y192" s="12" t="b">
        <f>IFERROR(IF(YEAR(Table810[[#This Row],[RISE Storage End Date]])=2025,TRUE,FALSE),FALSE)</f>
        <v>0</v>
      </c>
      <c r="Z192" s="11" t="b">
        <v>0</v>
      </c>
      <c r="AA192" s="16" t="s">
        <v>61</v>
      </c>
      <c r="AB192" s="17" t="s">
        <v>61</v>
      </c>
      <c r="AC192" s="17" t="s">
        <v>61</v>
      </c>
      <c r="AD192" s="17" t="s">
        <v>61</v>
      </c>
      <c r="AE192" s="17" t="s">
        <v>61</v>
      </c>
      <c r="AF192" s="17" t="s">
        <v>61</v>
      </c>
      <c r="AG192" s="17" t="s">
        <v>61</v>
      </c>
      <c r="AH192" s="17" t="s">
        <v>61</v>
      </c>
      <c r="AI192" s="17" t="s">
        <v>61</v>
      </c>
      <c r="AJ192" s="17" t="s">
        <v>61</v>
      </c>
      <c r="AK192" s="18"/>
      <c r="AL192" s="18"/>
      <c r="AM192" s="13" t="s">
        <v>999</v>
      </c>
      <c r="AN192" s="11" t="s">
        <v>84</v>
      </c>
      <c r="AO192" s="11" t="s">
        <v>998</v>
      </c>
      <c r="AP192" s="11" t="s">
        <v>1000</v>
      </c>
      <c r="AQ192" s="21" t="s">
        <v>64</v>
      </c>
      <c r="AR192" s="25"/>
      <c r="AS192" s="25"/>
      <c r="AT192" s="25"/>
      <c r="AU192" s="25"/>
      <c r="AV192" s="25"/>
      <c r="AW192" s="25"/>
      <c r="AX192" s="23"/>
    </row>
    <row r="193" spans="1:50" ht="16.5" customHeight="1">
      <c r="A193" s="36" t="s">
        <v>1001</v>
      </c>
      <c r="B193" s="28" t="s">
        <v>68</v>
      </c>
      <c r="C193" s="28" t="s">
        <v>86</v>
      </c>
      <c r="D193" s="28"/>
      <c r="E193" s="28" t="s">
        <v>70</v>
      </c>
      <c r="F193" s="28">
        <v>365</v>
      </c>
      <c r="G193" s="28">
        <v>3</v>
      </c>
      <c r="H193" s="28" t="str">
        <f>IF(ISNUMBER(Table810[[#This Row],[Total Capacity]]),"USBR Enterprise Asset Registry",IF(Table810[[#This Row],[Total Capacity]]="",""))</f>
        <v>USBR Enterprise Asset Registry</v>
      </c>
      <c r="I193" s="28" t="s">
        <v>57</v>
      </c>
      <c r="J193" s="28" t="s">
        <v>72</v>
      </c>
      <c r="K193" s="28"/>
      <c r="L193" s="50">
        <v>428360</v>
      </c>
      <c r="M193" s="48">
        <v>400034</v>
      </c>
      <c r="N193" s="50">
        <v>400034</v>
      </c>
      <c r="O193" s="28"/>
      <c r="P193" s="37"/>
      <c r="Q193" s="28">
        <f>IF(OR(Table810[[#This Row],[Post-Review Decision]]="Include", Table810[[#This Row],[Post-Review Decision]]="Include if possible", Table810[[#This Row],[Post-Review Decision]]="Include (Omit % Avg if needed)",  Table810[[#This Row],[Post-Review Decision]]="Include (Omit % Avg)"),Table810[[#This Row],[EAR Total Capacity]],"")</f>
        <v>428360</v>
      </c>
      <c r="R193" s="28">
        <v>400034</v>
      </c>
      <c r="S193" s="46">
        <v>427267</v>
      </c>
      <c r="T193" s="28" t="s">
        <v>1001</v>
      </c>
      <c r="U193" s="28" t="s">
        <v>1002</v>
      </c>
      <c r="V193" s="13" t="s">
        <v>293</v>
      </c>
      <c r="W193" s="12" t="b">
        <f>ISNUMBER(Table810[[#This Row],[EAR Total Capacity]])</f>
        <v>1</v>
      </c>
      <c r="X193" s="12" t="b">
        <f>IF(Table810[[#This Row],[Has  Storage for Full Averaging Period?]]="OK",TRUE,FALSE)</f>
        <v>1</v>
      </c>
      <c r="Y193" s="12" t="b">
        <f>IFERROR(IF(YEAR(Table810[[#This Row],[RISE Storage End Date]])=2025,TRUE,FALSE),FALSE)</f>
        <v>1</v>
      </c>
      <c r="Z193" s="11" t="b">
        <v>0</v>
      </c>
      <c r="AA193" s="13">
        <v>166</v>
      </c>
      <c r="AB193" s="13" t="s">
        <v>76</v>
      </c>
      <c r="AC193" s="13" t="s">
        <v>1003</v>
      </c>
      <c r="AD193" s="13" t="s">
        <v>1001</v>
      </c>
      <c r="AE193" s="13" t="s">
        <v>78</v>
      </c>
      <c r="AF193" s="13" t="s">
        <v>1004</v>
      </c>
      <c r="AG193" s="13" t="s">
        <v>91</v>
      </c>
      <c r="AH193" s="13" t="s">
        <v>102</v>
      </c>
      <c r="AI193" s="13" t="s">
        <v>82</v>
      </c>
      <c r="AJ193" s="14">
        <v>428360</v>
      </c>
      <c r="AK193" s="18"/>
      <c r="AL193" s="18"/>
      <c r="AM193" s="13" t="s">
        <v>1005</v>
      </c>
      <c r="AN193" s="13" t="s">
        <v>63</v>
      </c>
      <c r="AO193" s="13" t="s">
        <v>1001</v>
      </c>
      <c r="AP193" s="13" t="s">
        <v>1001</v>
      </c>
      <c r="AQ193" s="21" t="s">
        <v>64</v>
      </c>
      <c r="AR193" s="26">
        <v>27394</v>
      </c>
      <c r="AS193" s="26">
        <v>46007</v>
      </c>
      <c r="AT193" s="25">
        <v>18615</v>
      </c>
      <c r="AU193" s="25" t="s">
        <v>65</v>
      </c>
      <c r="AV193" s="25" t="s">
        <v>65</v>
      </c>
      <c r="AW193" s="25" t="s">
        <v>65</v>
      </c>
      <c r="AX193" s="24"/>
    </row>
    <row r="194" spans="1:50" ht="16.5" customHeight="1">
      <c r="A194" s="36" t="s">
        <v>1006</v>
      </c>
      <c r="B194" s="28"/>
      <c r="C194" s="28" t="s">
        <v>97</v>
      </c>
      <c r="D194" s="28"/>
      <c r="E194" s="28"/>
      <c r="F194" s="28" t="s">
        <v>61</v>
      </c>
      <c r="G194" s="28"/>
      <c r="H194" s="28" t="str">
        <f>IF(ISNUMBER(Table810[[#This Row],[Total Capacity]]),"USBR Enterprise Asset Registry",IF(Table810[[#This Row],[Total Capacity]]="",""))</f>
        <v/>
      </c>
      <c r="I194" s="28"/>
      <c r="J194" s="28"/>
      <c r="K194" s="28"/>
      <c r="L194" s="50" t="s">
        <v>98</v>
      </c>
      <c r="M194" s="48"/>
      <c r="N194" s="50" t="s">
        <v>98</v>
      </c>
      <c r="O194" s="28"/>
      <c r="P194" s="37"/>
      <c r="Q194" s="28" t="str">
        <f>IF(OR(Table810[[#This Row],[Post-Review Decision]]="Include", Table810[[#This Row],[Post-Review Decision]]="Include if possible", Table810[[#This Row],[Post-Review Decision]]="Include (Omit % Avg if needed)",  Table810[[#This Row],[Post-Review Decision]]="Include (Omit % Avg)"),Table810[[#This Row],[EAR Total Capacity]],"")</f>
        <v/>
      </c>
      <c r="R194" s="28"/>
      <c r="S194" s="45">
        <v>0</v>
      </c>
      <c r="T194" s="28"/>
      <c r="U194" s="28"/>
      <c r="V194" s="13" t="s">
        <v>341</v>
      </c>
      <c r="W194" s="12" t="b">
        <f>ISNUMBER(Table810[[#This Row],[EAR Total Capacity]])</f>
        <v>0</v>
      </c>
      <c r="X194" s="12" t="b">
        <f>IF(Table810[[#This Row],[Has  Storage for Full Averaging Period?]]="OK",TRUE,FALSE)</f>
        <v>0</v>
      </c>
      <c r="Y194" s="12" t="b">
        <f>IFERROR(IF(YEAR(Table810[[#This Row],[RISE Storage End Date]])=2025,TRUE,FALSE),FALSE)</f>
        <v>0</v>
      </c>
      <c r="Z194" s="11" t="b">
        <v>0</v>
      </c>
      <c r="AA194" s="13">
        <v>167</v>
      </c>
      <c r="AB194" s="13" t="s">
        <v>76</v>
      </c>
      <c r="AC194" s="13" t="s">
        <v>1007</v>
      </c>
      <c r="AD194" s="13" t="s">
        <v>1006</v>
      </c>
      <c r="AE194" s="13" t="s">
        <v>343</v>
      </c>
      <c r="AF194" s="13" t="s">
        <v>344</v>
      </c>
      <c r="AG194" s="13" t="s">
        <v>109</v>
      </c>
      <c r="AH194" s="13" t="s">
        <v>92</v>
      </c>
      <c r="AI194" s="13" t="s">
        <v>110</v>
      </c>
      <c r="AJ194" s="14"/>
      <c r="AK194" s="15"/>
      <c r="AL194" s="15"/>
      <c r="AM194" s="15" t="s">
        <v>61</v>
      </c>
      <c r="AN194" s="15" t="s">
        <v>61</v>
      </c>
      <c r="AO194" s="15" t="s">
        <v>61</v>
      </c>
      <c r="AP194" s="15" t="s">
        <v>61</v>
      </c>
      <c r="AQ194" s="21" t="s">
        <v>136</v>
      </c>
      <c r="AR194" s="25"/>
      <c r="AS194" s="25"/>
      <c r="AT194" s="25"/>
      <c r="AU194" s="25"/>
      <c r="AV194" s="25"/>
      <c r="AW194" s="25"/>
      <c r="AX194" s="24"/>
    </row>
    <row r="195" spans="1:50" ht="16.5" customHeight="1">
      <c r="A195" s="36" t="s">
        <v>1008</v>
      </c>
      <c r="B195" s="28"/>
      <c r="C195" s="28" t="s">
        <v>97</v>
      </c>
      <c r="D195" s="28"/>
      <c r="E195" s="28"/>
      <c r="F195" s="28" t="s">
        <v>61</v>
      </c>
      <c r="G195" s="28"/>
      <c r="H195" s="28" t="str">
        <f>IF(ISNUMBER(Table810[[#This Row],[Total Capacity]]),"USBR Enterprise Asset Registry",IF(Table810[[#This Row],[Total Capacity]]="",""))</f>
        <v/>
      </c>
      <c r="I195" s="28"/>
      <c r="J195" s="28"/>
      <c r="K195" s="28"/>
      <c r="L195" s="50" t="s">
        <v>98</v>
      </c>
      <c r="M195" s="48"/>
      <c r="N195" s="50" t="s">
        <v>98</v>
      </c>
      <c r="O195" s="28"/>
      <c r="P195" s="37"/>
      <c r="Q195" s="28" t="str">
        <f>IF(OR(Table810[[#This Row],[Post-Review Decision]]="Include", Table810[[#This Row],[Post-Review Decision]]="Include if possible", Table810[[#This Row],[Post-Review Decision]]="Include (Omit % Avg if needed)",  Table810[[#This Row],[Post-Review Decision]]="Include (Omit % Avg)"),Table810[[#This Row],[EAR Total Capacity]],"")</f>
        <v/>
      </c>
      <c r="R195" s="28"/>
      <c r="S195" s="45">
        <v>0</v>
      </c>
      <c r="T195" s="28"/>
      <c r="U195" s="28"/>
      <c r="V195" s="13" t="s">
        <v>341</v>
      </c>
      <c r="W195" s="12" t="b">
        <f>ISNUMBER(Table810[[#This Row],[EAR Total Capacity]])</f>
        <v>0</v>
      </c>
      <c r="X195" s="12" t="b">
        <f>IF(Table810[[#This Row],[Has  Storage for Full Averaging Period?]]="OK",TRUE,FALSE)</f>
        <v>0</v>
      </c>
      <c r="Y195" s="12" t="b">
        <f>IFERROR(IF(YEAR(Table810[[#This Row],[RISE Storage End Date]])=2025,TRUE,FALSE),FALSE)</f>
        <v>0</v>
      </c>
      <c r="Z195" s="11" t="b">
        <v>0</v>
      </c>
      <c r="AA195" s="13">
        <v>218</v>
      </c>
      <c r="AB195" s="13" t="s">
        <v>76</v>
      </c>
      <c r="AC195" s="13" t="s">
        <v>1009</v>
      </c>
      <c r="AD195" s="13" t="s">
        <v>1008</v>
      </c>
      <c r="AE195" s="13" t="s">
        <v>343</v>
      </c>
      <c r="AF195" s="13" t="s">
        <v>344</v>
      </c>
      <c r="AG195" s="13" t="s">
        <v>109</v>
      </c>
      <c r="AH195" s="13" t="s">
        <v>92</v>
      </c>
      <c r="AI195" s="13" t="s">
        <v>110</v>
      </c>
      <c r="AJ195" s="14"/>
      <c r="AK195" s="15"/>
      <c r="AL195" s="15"/>
      <c r="AM195" s="15" t="s">
        <v>61</v>
      </c>
      <c r="AN195" s="15" t="s">
        <v>61</v>
      </c>
      <c r="AO195" s="15" t="s">
        <v>61</v>
      </c>
      <c r="AP195" s="15" t="s">
        <v>61</v>
      </c>
      <c r="AQ195" s="21" t="s">
        <v>136</v>
      </c>
      <c r="AR195" s="25"/>
      <c r="AS195" s="25"/>
      <c r="AT195" s="25"/>
      <c r="AU195" s="25"/>
      <c r="AV195" s="25"/>
      <c r="AW195" s="25"/>
      <c r="AX195" s="24"/>
    </row>
    <row r="196" spans="1:50" ht="16.5" customHeight="1">
      <c r="A196" s="36" t="s">
        <v>1010</v>
      </c>
      <c r="B196" s="28"/>
      <c r="C196" s="28" t="s">
        <v>97</v>
      </c>
      <c r="D196" s="28"/>
      <c r="E196" s="28"/>
      <c r="F196" s="28" t="s">
        <v>61</v>
      </c>
      <c r="G196" s="28"/>
      <c r="H196" s="28" t="str">
        <f>IF(ISNUMBER(Table810[[#This Row],[Total Capacity]]),"USBR Enterprise Asset Registry",IF(Table810[[#This Row],[Total Capacity]]="",""))</f>
        <v/>
      </c>
      <c r="I196" s="28"/>
      <c r="J196" s="28"/>
      <c r="K196" s="28"/>
      <c r="L196" s="50" t="s">
        <v>98</v>
      </c>
      <c r="M196" s="48"/>
      <c r="N196" s="50" t="s">
        <v>98</v>
      </c>
      <c r="O196" s="28"/>
      <c r="P196" s="37"/>
      <c r="Q196" s="28" t="str">
        <f>IF(OR(Table810[[#This Row],[Post-Review Decision]]="Include", Table810[[#This Row],[Post-Review Decision]]="Include if possible", Table810[[#This Row],[Post-Review Decision]]="Include (Omit % Avg if needed)",  Table810[[#This Row],[Post-Review Decision]]="Include (Omit % Avg)"),Table810[[#This Row],[EAR Total Capacity]],"")</f>
        <v/>
      </c>
      <c r="R196" s="28">
        <v>98281</v>
      </c>
      <c r="S196" s="45">
        <v>0</v>
      </c>
      <c r="T196" s="28"/>
      <c r="U196" s="28"/>
      <c r="V196" s="13" t="s">
        <v>176</v>
      </c>
      <c r="W196" s="12" t="b">
        <f>ISNUMBER(Table810[[#This Row],[EAR Total Capacity]])</f>
        <v>1</v>
      </c>
      <c r="X196" s="12" t="b">
        <f>IF(Table810[[#This Row],[Has  Storage for Full Averaging Period?]]="OK",TRUE,FALSE)</f>
        <v>0</v>
      </c>
      <c r="Y196" s="12" t="b">
        <f>IFERROR(IF(YEAR(Table810[[#This Row],[RISE Storage End Date]])=2025,TRUE,FALSE),FALSE)</f>
        <v>0</v>
      </c>
      <c r="Z196" s="11" t="b">
        <v>0</v>
      </c>
      <c r="AA196" s="13">
        <v>168</v>
      </c>
      <c r="AB196" s="13" t="s">
        <v>76</v>
      </c>
      <c r="AC196" s="13" t="s">
        <v>1011</v>
      </c>
      <c r="AD196" s="13" t="s">
        <v>1010</v>
      </c>
      <c r="AE196" s="13" t="s">
        <v>78</v>
      </c>
      <c r="AF196" s="13" t="s">
        <v>1012</v>
      </c>
      <c r="AG196" s="13" t="s">
        <v>179</v>
      </c>
      <c r="AH196" s="13" t="s">
        <v>180</v>
      </c>
      <c r="AI196" s="13" t="s">
        <v>93</v>
      </c>
      <c r="AJ196" s="14">
        <v>98281</v>
      </c>
      <c r="AK196" s="15"/>
      <c r="AL196" s="15"/>
      <c r="AM196" s="15" t="s">
        <v>61</v>
      </c>
      <c r="AN196" s="15" t="s">
        <v>61</v>
      </c>
      <c r="AO196" s="15" t="s">
        <v>61</v>
      </c>
      <c r="AP196" s="15" t="s">
        <v>61</v>
      </c>
      <c r="AQ196" s="21" t="s">
        <v>136</v>
      </c>
      <c r="AR196" s="25"/>
      <c r="AS196" s="25"/>
      <c r="AT196" s="25"/>
      <c r="AU196" s="25"/>
      <c r="AV196" s="25"/>
      <c r="AW196" s="25"/>
      <c r="AX196" s="24"/>
    </row>
    <row r="197" spans="1:50" ht="16.5" customHeight="1">
      <c r="A197" s="36" t="s">
        <v>1013</v>
      </c>
      <c r="B197" s="28" t="s">
        <v>68</v>
      </c>
      <c r="C197" s="30" t="s">
        <v>86</v>
      </c>
      <c r="D197" s="30"/>
      <c r="E197" s="28" t="s">
        <v>70</v>
      </c>
      <c r="F197" s="28">
        <v>369</v>
      </c>
      <c r="G197" s="28">
        <v>3</v>
      </c>
      <c r="H197" s="30" t="str">
        <f>IF(ISNUMBER(Table810[[#This Row],[Total Capacity]]),"USBR Enterprise Asset Registry",IF(Table810[[#This Row],[Total Capacity]]="",""))</f>
        <v>USBR Enterprise Asset Registry</v>
      </c>
      <c r="I197" s="28" t="s">
        <v>57</v>
      </c>
      <c r="J197" s="28" t="s">
        <v>72</v>
      </c>
      <c r="K197" s="28"/>
      <c r="L197" s="50">
        <v>156735</v>
      </c>
      <c r="M197" s="48"/>
      <c r="N197" s="50">
        <v>156735</v>
      </c>
      <c r="O197" s="28"/>
      <c r="P197" s="39"/>
      <c r="Q197" s="30">
        <f>IF(OR(Table810[[#This Row],[Post-Review Decision]]="Include", Table810[[#This Row],[Post-Review Decision]]="Include if possible", Table810[[#This Row],[Post-Review Decision]]="Include (Omit % Avg if needed)",  Table810[[#This Row],[Post-Review Decision]]="Include (Omit % Avg)"),Table810[[#This Row],[EAR Total Capacity]],"")</f>
        <v>156735</v>
      </c>
      <c r="R197" s="30">
        <v>139135</v>
      </c>
      <c r="S197" s="46">
        <v>149732</v>
      </c>
      <c r="T197" s="30" t="s">
        <v>1013</v>
      </c>
      <c r="U197" s="30" t="s">
        <v>1014</v>
      </c>
      <c r="V197" s="13" t="s">
        <v>264</v>
      </c>
      <c r="W197" s="12" t="b">
        <f>ISNUMBER(Table810[[#This Row],[EAR Total Capacity]])</f>
        <v>1</v>
      </c>
      <c r="X197" s="12" t="b">
        <f>IF(Table810[[#This Row],[Has  Storage for Full Averaging Period?]]="OK",TRUE,FALSE)</f>
        <v>1</v>
      </c>
      <c r="Y197" s="12" t="b">
        <f>IFERROR(IF(YEAR(Table810[[#This Row],[RISE Storage End Date]])=2025,TRUE,FALSE),FALSE)</f>
        <v>1</v>
      </c>
      <c r="Z197" s="11" t="b">
        <v>0</v>
      </c>
      <c r="AA197" s="13">
        <v>169</v>
      </c>
      <c r="AB197" s="13" t="s">
        <v>76</v>
      </c>
      <c r="AC197" s="13" t="s">
        <v>1015</v>
      </c>
      <c r="AD197" s="13" t="s">
        <v>1013</v>
      </c>
      <c r="AE197" s="13" t="s">
        <v>78</v>
      </c>
      <c r="AF197" s="13" t="s">
        <v>1016</v>
      </c>
      <c r="AG197" s="13" t="s">
        <v>91</v>
      </c>
      <c r="AH197" s="13" t="s">
        <v>92</v>
      </c>
      <c r="AI197" s="13" t="s">
        <v>82</v>
      </c>
      <c r="AJ197" s="14">
        <v>156735</v>
      </c>
      <c r="AK197" s="18"/>
      <c r="AL197" s="18"/>
      <c r="AM197" s="13" t="s">
        <v>1017</v>
      </c>
      <c r="AN197" s="13" t="s">
        <v>95</v>
      </c>
      <c r="AO197" s="13" t="s">
        <v>1013</v>
      </c>
      <c r="AP197" s="13" t="s">
        <v>1013</v>
      </c>
      <c r="AQ197" s="21" t="s">
        <v>64</v>
      </c>
      <c r="AR197" s="26">
        <v>31533</v>
      </c>
      <c r="AS197" s="26">
        <v>46007</v>
      </c>
      <c r="AT197" s="25">
        <v>14373</v>
      </c>
      <c r="AU197" s="25" t="s">
        <v>65</v>
      </c>
      <c r="AV197" s="25" t="s">
        <v>65</v>
      </c>
      <c r="AW197" s="25" t="s">
        <v>65</v>
      </c>
      <c r="AX197" s="24"/>
    </row>
    <row r="198" spans="1:50" ht="16.5" customHeight="1">
      <c r="A198" s="36" t="s">
        <v>1018</v>
      </c>
      <c r="B198" s="28" t="s">
        <v>68</v>
      </c>
      <c r="C198" s="28" t="s">
        <v>69</v>
      </c>
      <c r="D198" s="28"/>
      <c r="E198" s="28" t="s">
        <v>70</v>
      </c>
      <c r="F198" s="28">
        <v>7182</v>
      </c>
      <c r="G198" s="28">
        <v>3</v>
      </c>
      <c r="H198" s="28" t="str">
        <f>IF(ISNUMBER(Table810[[#This Row],[Total Capacity]]),"USBR Enterprise Asset Registry",IF(Table810[[#This Row],[Total Capacity]]="",""))</f>
        <v>USBR Enterprise Asset Registry</v>
      </c>
      <c r="I198" s="28" t="s">
        <v>71</v>
      </c>
      <c r="J198" s="28" t="s">
        <v>72</v>
      </c>
      <c r="K198" s="28"/>
      <c r="L198" s="50">
        <v>60600</v>
      </c>
      <c r="M198" s="48"/>
      <c r="N198" s="50">
        <v>60600</v>
      </c>
      <c r="O198" s="28"/>
      <c r="P198" s="37"/>
      <c r="Q198" s="28">
        <f>IF(OR(Table810[[#This Row],[Post-Review Decision]]="Include", Table810[[#This Row],[Post-Review Decision]]="Include if possible", Table810[[#This Row],[Post-Review Decision]]="Include (Omit % Avg if needed)",  Table810[[#This Row],[Post-Review Decision]]="Include (Omit % Avg)"),Table810[[#This Row],[EAR Total Capacity]],"")</f>
        <v>62100</v>
      </c>
      <c r="R198" s="28">
        <v>60600</v>
      </c>
      <c r="S198" s="46">
        <v>60600</v>
      </c>
      <c r="T198" s="28" t="s">
        <v>1018</v>
      </c>
      <c r="U198" s="28" t="s">
        <v>1019</v>
      </c>
      <c r="V198" s="13" t="s">
        <v>74</v>
      </c>
      <c r="W198" s="12" t="b">
        <f>ISNUMBER(Table810[[#This Row],[EAR Total Capacity]])</f>
        <v>1</v>
      </c>
      <c r="X198" s="12" t="s">
        <v>75</v>
      </c>
      <c r="Y198" s="12" t="b">
        <f>IFERROR(IF(YEAR(Table810[[#This Row],[RISE Storage End Date]])=2025,TRUE,FALSE),FALSE)</f>
        <v>0</v>
      </c>
      <c r="Z198" s="11" t="b">
        <v>0</v>
      </c>
      <c r="AA198" s="13">
        <v>170</v>
      </c>
      <c r="AB198" s="13" t="s">
        <v>76</v>
      </c>
      <c r="AC198" s="13" t="s">
        <v>1020</v>
      </c>
      <c r="AD198" s="13" t="s">
        <v>1018</v>
      </c>
      <c r="AE198" s="13" t="s">
        <v>78</v>
      </c>
      <c r="AF198" s="13" t="s">
        <v>1021</v>
      </c>
      <c r="AG198" s="13" t="s">
        <v>80</v>
      </c>
      <c r="AH198" s="13" t="s">
        <v>81</v>
      </c>
      <c r="AI198" s="13" t="s">
        <v>93</v>
      </c>
      <c r="AJ198" s="19">
        <v>62100</v>
      </c>
      <c r="AK198" s="18"/>
      <c r="AL198" s="18"/>
      <c r="AM198" s="13" t="s">
        <v>1022</v>
      </c>
      <c r="AN198" s="13" t="s">
        <v>84</v>
      </c>
      <c r="AO198" s="13" t="s">
        <v>1018</v>
      </c>
      <c r="AP198" s="13" t="s">
        <v>1018</v>
      </c>
      <c r="AQ198" s="21" t="s">
        <v>64</v>
      </c>
      <c r="AR198" s="25"/>
      <c r="AS198" s="25"/>
      <c r="AT198" s="25"/>
      <c r="AU198" s="25"/>
      <c r="AV198" s="25"/>
      <c r="AW198" s="25"/>
      <c r="AX198" s="24"/>
    </row>
    <row r="199" spans="1:50" ht="16.5" customHeight="1">
      <c r="A199" s="36" t="s">
        <v>1023</v>
      </c>
      <c r="B199" s="28"/>
      <c r="C199" s="28" t="s">
        <v>97</v>
      </c>
      <c r="D199" s="28"/>
      <c r="E199" s="28"/>
      <c r="F199" s="28" t="s">
        <v>61</v>
      </c>
      <c r="G199" s="28"/>
      <c r="H199" s="28" t="str">
        <f>IF(ISNUMBER(Table810[[#This Row],[Total Capacity]]),"USBR Enterprise Asset Registry",IF(Table810[[#This Row],[Total Capacity]]="",""))</f>
        <v/>
      </c>
      <c r="I199" s="28"/>
      <c r="J199" s="28"/>
      <c r="K199" s="28"/>
      <c r="L199" s="50" t="s">
        <v>98</v>
      </c>
      <c r="M199" s="48"/>
      <c r="N199" s="50" t="s">
        <v>98</v>
      </c>
      <c r="O199" s="28"/>
      <c r="P199" s="37"/>
      <c r="Q199" s="28" t="str">
        <f>IF(OR(Table810[[#This Row],[Post-Review Decision]]="Include", Table810[[#This Row],[Post-Review Decision]]="Include if possible", Table810[[#This Row],[Post-Review Decision]]="Include (Omit % Avg if needed)",  Table810[[#This Row],[Post-Review Decision]]="Include (Omit % Avg)"),Table810[[#This Row],[EAR Total Capacity]],"")</f>
        <v/>
      </c>
      <c r="R199" s="28">
        <v>4060</v>
      </c>
      <c r="S199" s="46">
        <v>4060</v>
      </c>
      <c r="T199" s="28"/>
      <c r="U199" s="28"/>
      <c r="V199" s="13" t="s">
        <v>151</v>
      </c>
      <c r="W199" s="12" t="b">
        <f>ISNUMBER(Table810[[#This Row],[EAR Total Capacity]])</f>
        <v>1</v>
      </c>
      <c r="X199" s="12" t="b">
        <f>IF(Table810[[#This Row],[Has  Storage for Full Averaging Period?]]="OK",TRUE,FALSE)</f>
        <v>0</v>
      </c>
      <c r="Y199" s="12" t="b">
        <f>IFERROR(IF(YEAR(Table810[[#This Row],[RISE Storage End Date]])=2025,TRUE,FALSE),FALSE)</f>
        <v>0</v>
      </c>
      <c r="Z199" s="11" t="b">
        <v>0</v>
      </c>
      <c r="AA199" s="13">
        <v>171</v>
      </c>
      <c r="AB199" s="13" t="s">
        <v>76</v>
      </c>
      <c r="AC199" s="13" t="s">
        <v>1024</v>
      </c>
      <c r="AD199" s="13" t="s">
        <v>1023</v>
      </c>
      <c r="AE199" s="13" t="s">
        <v>78</v>
      </c>
      <c r="AF199" s="13" t="s">
        <v>1025</v>
      </c>
      <c r="AG199" s="13" t="s">
        <v>80</v>
      </c>
      <c r="AH199" s="13" t="s">
        <v>81</v>
      </c>
      <c r="AI199" s="13" t="s">
        <v>82</v>
      </c>
      <c r="AJ199" s="14">
        <v>4060</v>
      </c>
      <c r="AK199" s="15"/>
      <c r="AL199" s="15"/>
      <c r="AM199" s="15" t="s">
        <v>61</v>
      </c>
      <c r="AN199" s="15" t="s">
        <v>61</v>
      </c>
      <c r="AO199" s="15" t="s">
        <v>61</v>
      </c>
      <c r="AP199" s="15" t="s">
        <v>61</v>
      </c>
      <c r="AQ199" s="21" t="s">
        <v>136</v>
      </c>
      <c r="AR199" s="25"/>
      <c r="AS199" s="25"/>
      <c r="AT199" s="25"/>
      <c r="AU199" s="25"/>
      <c r="AV199" s="25"/>
      <c r="AW199" s="25"/>
      <c r="AX199" s="24"/>
    </row>
    <row r="200" spans="1:50" ht="16.5" customHeight="1">
      <c r="A200" s="36" t="s">
        <v>1026</v>
      </c>
      <c r="B200" s="28" t="s">
        <v>68</v>
      </c>
      <c r="C200" s="56" t="s">
        <v>52</v>
      </c>
      <c r="D200" s="28" t="s">
        <v>125</v>
      </c>
      <c r="E200" s="28" t="s">
        <v>126</v>
      </c>
      <c r="F200" s="28">
        <v>3652</v>
      </c>
      <c r="G200" s="28">
        <v>3</v>
      </c>
      <c r="H200" s="28" t="str">
        <f>IF(ISNUMBER(Table810[[#This Row],[Total Capacity]]),"USBR Enterprise Asset Registry",IF(Table810[[#This Row],[Total Capacity]]="",""))</f>
        <v>USBR Enterprise Asset Registry</v>
      </c>
      <c r="I200" s="28" t="s">
        <v>57</v>
      </c>
      <c r="J200" s="57" t="s">
        <v>127</v>
      </c>
      <c r="K200" s="61">
        <v>48846</v>
      </c>
      <c r="L200" s="58">
        <v>36224</v>
      </c>
      <c r="M200" s="48"/>
      <c r="N200" s="50">
        <v>36224</v>
      </c>
      <c r="O200" s="57"/>
      <c r="P200" s="59" t="s">
        <v>1027</v>
      </c>
      <c r="Q200" s="28">
        <f>IF(OR(Table810[[#This Row],[Post-Review Decision]]="Include", Table810[[#This Row],[Post-Review Decision]]="Include if possible", Table810[[#This Row],[Post-Review Decision]]="Include (Omit % Avg if needed)",  Table810[[#This Row],[Post-Review Decision]]="Include (Omit % Avg)"),Table810[[#This Row],[EAR Total Capacity]],"")</f>
        <v>85070</v>
      </c>
      <c r="R200" s="28">
        <v>76149</v>
      </c>
      <c r="S200" s="46">
        <v>79885</v>
      </c>
      <c r="T200" s="28" t="s">
        <v>1028</v>
      </c>
      <c r="U200" s="28" t="s">
        <v>1029</v>
      </c>
      <c r="V200" s="13" t="s">
        <v>220</v>
      </c>
      <c r="W200" s="12" t="b">
        <f>ISNUMBER(Table810[[#This Row],[EAR Total Capacity]])</f>
        <v>1</v>
      </c>
      <c r="X200" s="12" t="b">
        <f>IF(Table810[[#This Row],[Has  Storage for Full Averaging Period?]]="OK",TRUE,FALSE)</f>
        <v>0</v>
      </c>
      <c r="Y200" s="12" t="b">
        <f>IFERROR(IF(YEAR(Table810[[#This Row],[RISE Storage End Date]])=2025,TRUE,FALSE),FALSE)</f>
        <v>0</v>
      </c>
      <c r="Z200" s="11" t="b">
        <v>0</v>
      </c>
      <c r="AA200" s="13">
        <v>172</v>
      </c>
      <c r="AB200" s="13" t="s">
        <v>76</v>
      </c>
      <c r="AC200" s="13" t="s">
        <v>1030</v>
      </c>
      <c r="AD200" s="13" t="s">
        <v>1026</v>
      </c>
      <c r="AE200" s="13" t="s">
        <v>78</v>
      </c>
      <c r="AF200" s="13" t="s">
        <v>1031</v>
      </c>
      <c r="AG200" s="13" t="s">
        <v>109</v>
      </c>
      <c r="AH200" s="13" t="s">
        <v>92</v>
      </c>
      <c r="AI200" s="13" t="s">
        <v>93</v>
      </c>
      <c r="AJ200" s="14">
        <v>85070</v>
      </c>
      <c r="AK200" s="18"/>
      <c r="AL200" s="18"/>
      <c r="AM200" s="13" t="s">
        <v>1032</v>
      </c>
      <c r="AN200" s="13" t="s">
        <v>95</v>
      </c>
      <c r="AO200" s="11" t="s">
        <v>1026</v>
      </c>
      <c r="AP200" s="11" t="s">
        <v>1033</v>
      </c>
      <c r="AQ200" s="21" t="s">
        <v>136</v>
      </c>
      <c r="AR200" s="25"/>
      <c r="AS200" s="25"/>
      <c r="AT200" s="25"/>
      <c r="AU200" s="25"/>
      <c r="AV200" s="25"/>
      <c r="AW200" s="25"/>
      <c r="AX200" s="24"/>
    </row>
    <row r="201" spans="1:50" ht="16.5" customHeight="1">
      <c r="A201" s="36" t="s">
        <v>1034</v>
      </c>
      <c r="B201" s="28" t="s">
        <v>68</v>
      </c>
      <c r="C201" s="28" t="s">
        <v>69</v>
      </c>
      <c r="D201" s="28"/>
      <c r="E201" s="28" t="s">
        <v>70</v>
      </c>
      <c r="F201" s="28">
        <v>7181</v>
      </c>
      <c r="G201" s="28">
        <v>3</v>
      </c>
      <c r="H201" s="28" t="str">
        <f>IF(ISNUMBER(Table810[[#This Row],[Total Capacity]]),"USBR Enterprise Asset Registry",IF(Table810[[#This Row],[Total Capacity]]="",""))</f>
        <v>USBR Enterprise Asset Registry</v>
      </c>
      <c r="I201" s="28" t="s">
        <v>71</v>
      </c>
      <c r="J201" s="28" t="s">
        <v>72</v>
      </c>
      <c r="K201" s="28"/>
      <c r="L201" s="50">
        <v>2982026</v>
      </c>
      <c r="M201" s="48"/>
      <c r="N201" s="50">
        <v>2982026</v>
      </c>
      <c r="O201" s="28"/>
      <c r="P201" s="37"/>
      <c r="Q201" s="28">
        <f>IF(OR(Table810[[#This Row],[Post-Review Decision]]="Include", Table810[[#This Row],[Post-Review Decision]]="Include if possible", Table810[[#This Row],[Post-Review Decision]]="Include (Omit % Avg if needed)",  Table810[[#This Row],[Post-Review Decision]]="Include (Omit % Avg)"),Table810[[#This Row],[EAR Total Capacity]],"")</f>
        <v>3467179</v>
      </c>
      <c r="R201" s="28">
        <v>2982026</v>
      </c>
      <c r="S201" s="46">
        <v>3427450</v>
      </c>
      <c r="T201" s="28" t="s">
        <v>1034</v>
      </c>
      <c r="U201" s="28" t="s">
        <v>1035</v>
      </c>
      <c r="V201" s="13" t="s">
        <v>1036</v>
      </c>
      <c r="W201" s="12" t="b">
        <f>ISNUMBER(Table810[[#This Row],[EAR Total Capacity]])</f>
        <v>1</v>
      </c>
      <c r="X201" s="12" t="s">
        <v>75</v>
      </c>
      <c r="Y201" s="12" t="b">
        <f>IFERROR(IF(YEAR(Table810[[#This Row],[RISE Storage End Date]])=2025,TRUE,FALSE),FALSE)</f>
        <v>0</v>
      </c>
      <c r="Z201" s="11" t="b">
        <v>0</v>
      </c>
      <c r="AA201" s="13">
        <v>173</v>
      </c>
      <c r="AB201" s="13" t="s">
        <v>76</v>
      </c>
      <c r="AC201" s="13" t="s">
        <v>1037</v>
      </c>
      <c r="AD201" s="13" t="s">
        <v>1034</v>
      </c>
      <c r="AE201" s="13" t="s">
        <v>78</v>
      </c>
      <c r="AF201" s="13" t="s">
        <v>1038</v>
      </c>
      <c r="AG201" s="13" t="s">
        <v>80</v>
      </c>
      <c r="AH201" s="13" t="s">
        <v>81</v>
      </c>
      <c r="AI201" s="13" t="s">
        <v>93</v>
      </c>
      <c r="AJ201" s="19">
        <v>3467179</v>
      </c>
      <c r="AK201" s="18"/>
      <c r="AL201" s="18"/>
      <c r="AM201" s="13" t="s">
        <v>1039</v>
      </c>
      <c r="AN201" s="13" t="s">
        <v>84</v>
      </c>
      <c r="AO201" s="13" t="s">
        <v>1034</v>
      </c>
      <c r="AP201" s="13" t="s">
        <v>1034</v>
      </c>
      <c r="AQ201" s="21" t="s">
        <v>64</v>
      </c>
      <c r="AR201" s="25"/>
      <c r="AS201" s="25"/>
      <c r="AT201" s="25"/>
      <c r="AU201" s="25"/>
      <c r="AV201" s="25"/>
      <c r="AW201" s="25"/>
      <c r="AX201" s="24"/>
    </row>
    <row r="202" spans="1:50" ht="16.5" customHeight="1">
      <c r="A202" s="36" t="s">
        <v>1040</v>
      </c>
      <c r="B202" s="28"/>
      <c r="C202" s="28" t="s">
        <v>97</v>
      </c>
      <c r="D202" s="28"/>
      <c r="E202" s="28"/>
      <c r="F202" s="28" t="s">
        <v>61</v>
      </c>
      <c r="G202" s="28"/>
      <c r="H202" s="28" t="str">
        <f>IF(ISNUMBER(Table810[[#This Row],[Total Capacity]]),"USBR Enterprise Asset Registry",IF(Table810[[#This Row],[Total Capacity]]="",""))</f>
        <v/>
      </c>
      <c r="I202" s="28"/>
      <c r="J202" s="28"/>
      <c r="K202" s="28"/>
      <c r="L202" s="50" t="s">
        <v>98</v>
      </c>
      <c r="M202" s="48"/>
      <c r="N202" s="50" t="s">
        <v>98</v>
      </c>
      <c r="O202" s="28"/>
      <c r="P202" s="37"/>
      <c r="Q202" s="28" t="str">
        <f>IF(OR(Table810[[#This Row],[Post-Review Decision]]="Include", Table810[[#This Row],[Post-Review Decision]]="Include if possible", Table810[[#This Row],[Post-Review Decision]]="Include (Omit % Avg if needed)",  Table810[[#This Row],[Post-Review Decision]]="Include (Omit % Avg)"),Table810[[#This Row],[EAR Total Capacity]],"")</f>
        <v/>
      </c>
      <c r="R202" s="28"/>
      <c r="S202" s="45">
        <v>0</v>
      </c>
      <c r="T202" s="28"/>
      <c r="U202" s="28"/>
      <c r="V202" s="13" t="s">
        <v>442</v>
      </c>
      <c r="W202" s="12" t="b">
        <f>ISNUMBER(Table810[[#This Row],[EAR Total Capacity]])</f>
        <v>0</v>
      </c>
      <c r="X202" s="12" t="b">
        <f>IF(Table810[[#This Row],[Has  Storage for Full Averaging Period?]]="OK",TRUE,FALSE)</f>
        <v>0</v>
      </c>
      <c r="Y202" s="12" t="b">
        <f>IFERROR(IF(YEAR(Table810[[#This Row],[RISE Storage End Date]])=2025,TRUE,FALSE),FALSE)</f>
        <v>0</v>
      </c>
      <c r="Z202" s="11" t="b">
        <v>0</v>
      </c>
      <c r="AA202" s="13">
        <v>174</v>
      </c>
      <c r="AB202" s="13" t="s">
        <v>76</v>
      </c>
      <c r="AC202" s="13" t="s">
        <v>1041</v>
      </c>
      <c r="AD202" s="13" t="s">
        <v>1040</v>
      </c>
      <c r="AE202" s="13" t="s">
        <v>101</v>
      </c>
      <c r="AF202" s="13" t="s">
        <v>1042</v>
      </c>
      <c r="AG202" s="13" t="s">
        <v>91</v>
      </c>
      <c r="AH202" s="13" t="s">
        <v>92</v>
      </c>
      <c r="AI202" s="13" t="s">
        <v>103</v>
      </c>
      <c r="AJ202" s="13"/>
      <c r="AK202" s="15"/>
      <c r="AL202" s="15"/>
      <c r="AM202" s="15" t="s">
        <v>61</v>
      </c>
      <c r="AN202" s="15" t="s">
        <v>61</v>
      </c>
      <c r="AO202" s="15" t="s">
        <v>61</v>
      </c>
      <c r="AP202" s="15" t="s">
        <v>61</v>
      </c>
      <c r="AQ202" s="22"/>
      <c r="AR202" s="25"/>
      <c r="AS202" s="25"/>
      <c r="AT202" s="25"/>
      <c r="AU202" s="25"/>
      <c r="AV202" s="25"/>
      <c r="AW202" s="25"/>
      <c r="AX202" s="24"/>
    </row>
    <row r="203" spans="1:50" ht="16.5" customHeight="1">
      <c r="A203" s="36" t="s">
        <v>1043</v>
      </c>
      <c r="B203" s="28"/>
      <c r="C203" s="28" t="s">
        <v>97</v>
      </c>
      <c r="D203" s="28"/>
      <c r="E203" s="28"/>
      <c r="F203" s="28">
        <v>370</v>
      </c>
      <c r="G203" s="28"/>
      <c r="H203" s="28" t="str">
        <f>IF(ISNUMBER(Table810[[#This Row],[Total Capacity]]),"USBR Enterprise Asset Registry",IF(Table810[[#This Row],[Total Capacity]]="",""))</f>
        <v/>
      </c>
      <c r="I203" s="28"/>
      <c r="J203" s="28"/>
      <c r="K203" s="28"/>
      <c r="L203" s="50" t="s">
        <v>98</v>
      </c>
      <c r="M203" s="48"/>
      <c r="N203" s="50" t="s">
        <v>98</v>
      </c>
      <c r="O203" s="28"/>
      <c r="P203" s="37"/>
      <c r="Q203" s="28" t="str">
        <f>IF(OR(Table810[[#This Row],[Post-Review Decision]]="Include", Table810[[#This Row],[Post-Review Decision]]="Include if possible", Table810[[#This Row],[Post-Review Decision]]="Include (Omit % Avg if needed)",  Table810[[#This Row],[Post-Review Decision]]="Include (Omit % Avg)"),Table810[[#This Row],[EAR Total Capacity]],"")</f>
        <v/>
      </c>
      <c r="R203" s="28"/>
      <c r="S203" s="45" t="s">
        <v>59</v>
      </c>
      <c r="T203" s="28"/>
      <c r="U203" s="28"/>
      <c r="V203" s="17" t="s">
        <v>61</v>
      </c>
      <c r="W203" s="12" t="b">
        <f>ISNUMBER(Table810[[#This Row],[EAR Total Capacity]])</f>
        <v>0</v>
      </c>
      <c r="X203" s="12" t="b">
        <f>IF(Table810[[#This Row],[Has  Storage for Full Averaging Period?]]="OK",TRUE,FALSE)</f>
        <v>1</v>
      </c>
      <c r="Y203" s="12" t="b">
        <f>IFERROR(IF(YEAR(Table810[[#This Row],[RISE Storage End Date]])=2025,TRUE,FALSE),FALSE)</f>
        <v>1</v>
      </c>
      <c r="Z203" s="11" t="b">
        <v>0</v>
      </c>
      <c r="AA203" s="16" t="s">
        <v>61</v>
      </c>
      <c r="AB203" s="17" t="s">
        <v>61</v>
      </c>
      <c r="AC203" s="17" t="s">
        <v>61</v>
      </c>
      <c r="AD203" s="17" t="s">
        <v>61</v>
      </c>
      <c r="AE203" s="17" t="s">
        <v>61</v>
      </c>
      <c r="AF203" s="17" t="s">
        <v>61</v>
      </c>
      <c r="AG203" s="17" t="s">
        <v>61</v>
      </c>
      <c r="AH203" s="17" t="s">
        <v>61</v>
      </c>
      <c r="AI203" s="17" t="s">
        <v>61</v>
      </c>
      <c r="AJ203" s="17" t="s">
        <v>61</v>
      </c>
      <c r="AK203" s="18"/>
      <c r="AL203" s="18"/>
      <c r="AM203" s="13" t="s">
        <v>1044</v>
      </c>
      <c r="AN203" s="11" t="s">
        <v>63</v>
      </c>
      <c r="AO203" s="11" t="s">
        <v>1043</v>
      </c>
      <c r="AP203" s="11" t="s">
        <v>1043</v>
      </c>
      <c r="AQ203" s="21" t="s">
        <v>64</v>
      </c>
      <c r="AR203" s="26">
        <v>27331</v>
      </c>
      <c r="AS203" s="26">
        <v>46007</v>
      </c>
      <c r="AT203" s="25">
        <v>18678</v>
      </c>
      <c r="AU203" s="25" t="s">
        <v>65</v>
      </c>
      <c r="AV203" s="25" t="s">
        <v>65</v>
      </c>
      <c r="AW203" s="25" t="s">
        <v>65</v>
      </c>
      <c r="AX203" s="23"/>
    </row>
    <row r="204" spans="1:50" ht="16.5" customHeight="1">
      <c r="A204" s="36" t="s">
        <v>1045</v>
      </c>
      <c r="B204" s="28" t="s">
        <v>68</v>
      </c>
      <c r="C204" s="28" t="s">
        <v>69</v>
      </c>
      <c r="D204" s="28"/>
      <c r="E204" s="28" t="s">
        <v>70</v>
      </c>
      <c r="F204" s="28">
        <v>7183</v>
      </c>
      <c r="G204" s="28">
        <v>3</v>
      </c>
      <c r="H204" s="28" t="str">
        <f>IF(ISNUMBER(Table810[[#This Row],[Total Capacity]]),"USBR Enterprise Asset Registry",IF(Table810[[#This Row],[Total Capacity]]="",""))</f>
        <v>USBR Enterprise Asset Registry</v>
      </c>
      <c r="I204" s="28" t="s">
        <v>71</v>
      </c>
      <c r="J204" s="28" t="s">
        <v>72</v>
      </c>
      <c r="K204" s="28"/>
      <c r="L204" s="50">
        <v>16200</v>
      </c>
      <c r="M204" s="48"/>
      <c r="N204" s="50">
        <v>16200</v>
      </c>
      <c r="O204" s="28"/>
      <c r="P204" s="37"/>
      <c r="Q204" s="28">
        <f>IF(OR(Table810[[#This Row],[Post-Review Decision]]="Include", Table810[[#This Row],[Post-Review Decision]]="Include if possible", Table810[[#This Row],[Post-Review Decision]]="Include (Omit % Avg if needed)",  Table810[[#This Row],[Post-Review Decision]]="Include (Omit % Avg)"),Table810[[#This Row],[EAR Total Capacity]],"")</f>
        <v>16200</v>
      </c>
      <c r="R204" s="28">
        <v>16200</v>
      </c>
      <c r="S204" s="45">
        <v>0</v>
      </c>
      <c r="T204" s="28" t="s">
        <v>1045</v>
      </c>
      <c r="U204" s="28" t="s">
        <v>1046</v>
      </c>
      <c r="V204" s="13" t="s">
        <v>74</v>
      </c>
      <c r="W204" s="12" t="b">
        <f>ISNUMBER(Table810[[#This Row],[EAR Total Capacity]])</f>
        <v>1</v>
      </c>
      <c r="X204" s="12" t="s">
        <v>75</v>
      </c>
      <c r="Y204" s="12" t="b">
        <f>IFERROR(IF(YEAR(Table810[[#This Row],[RISE Storage End Date]])=2025,TRUE,FALSE),FALSE)</f>
        <v>0</v>
      </c>
      <c r="Z204" s="11" t="b">
        <v>0</v>
      </c>
      <c r="AA204" s="13">
        <v>176</v>
      </c>
      <c r="AB204" s="13" t="s">
        <v>76</v>
      </c>
      <c r="AC204" s="13" t="s">
        <v>1047</v>
      </c>
      <c r="AD204" s="13" t="s">
        <v>1045</v>
      </c>
      <c r="AE204" s="13" t="s">
        <v>78</v>
      </c>
      <c r="AF204" s="13" t="s">
        <v>1048</v>
      </c>
      <c r="AG204" s="13" t="s">
        <v>80</v>
      </c>
      <c r="AH204" s="13" t="s">
        <v>81</v>
      </c>
      <c r="AI204" s="13" t="s">
        <v>93</v>
      </c>
      <c r="AJ204" s="19">
        <v>16200</v>
      </c>
      <c r="AK204" s="18"/>
      <c r="AL204" s="18"/>
      <c r="AM204" s="13" t="s">
        <v>1049</v>
      </c>
      <c r="AN204" s="13" t="s">
        <v>84</v>
      </c>
      <c r="AO204" s="13" t="s">
        <v>1045</v>
      </c>
      <c r="AP204" s="13" t="s">
        <v>1045</v>
      </c>
      <c r="AQ204" s="21" t="s">
        <v>64</v>
      </c>
      <c r="AR204" s="25"/>
      <c r="AS204" s="25"/>
      <c r="AT204" s="25"/>
      <c r="AU204" s="25"/>
      <c r="AV204" s="25"/>
      <c r="AW204" s="25"/>
      <c r="AX204" s="24"/>
    </row>
    <row r="205" spans="1:50" ht="16.5" customHeight="1">
      <c r="A205" s="36" t="s">
        <v>1050</v>
      </c>
      <c r="B205" s="28" t="s">
        <v>68</v>
      </c>
      <c r="C205" s="28" t="s">
        <v>86</v>
      </c>
      <c r="D205" s="28"/>
      <c r="E205" s="28" t="s">
        <v>70</v>
      </c>
      <c r="F205" s="28">
        <v>372</v>
      </c>
      <c r="G205" s="28">
        <v>3</v>
      </c>
      <c r="H205" s="28" t="str">
        <f>IF(ISNUMBER(Table810[[#This Row],[Total Capacity]]),"USBR Enterprise Asset Registry",IF(Table810[[#This Row],[Total Capacity]]="",""))</f>
        <v>USBR Enterprise Asset Registry</v>
      </c>
      <c r="I205" s="28" t="s">
        <v>257</v>
      </c>
      <c r="J205" s="28" t="s">
        <v>72</v>
      </c>
      <c r="K205" s="33"/>
      <c r="L205" s="50">
        <v>14734</v>
      </c>
      <c r="M205" s="48"/>
      <c r="N205" s="50">
        <v>14734</v>
      </c>
      <c r="O205" s="28"/>
      <c r="P205" s="37"/>
      <c r="Q205" s="28">
        <f>IF(OR(Table810[[#This Row],[Post-Review Decision]]="Include", Table810[[#This Row],[Post-Review Decision]]="Include if possible", Table810[[#This Row],[Post-Review Decision]]="Include (Omit % Avg if needed)",  Table810[[#This Row],[Post-Review Decision]]="Include (Omit % Avg)"),Table810[[#This Row],[EAR Total Capacity]],"")</f>
        <v>17746</v>
      </c>
      <c r="R205" s="28">
        <v>13881</v>
      </c>
      <c r="S205" s="46">
        <v>14734</v>
      </c>
      <c r="T205" s="28" t="s">
        <v>1050</v>
      </c>
      <c r="U205" s="28" t="s">
        <v>1051</v>
      </c>
      <c r="V205" s="13" t="s">
        <v>1052</v>
      </c>
      <c r="W205" s="12" t="b">
        <f>ISNUMBER(Table810[[#This Row],[EAR Total Capacity]])</f>
        <v>1</v>
      </c>
      <c r="X205" s="12" t="b">
        <f>IF(Table810[[#This Row],[Has  Storage for Full Averaging Period?]]="OK",TRUE,FALSE)</f>
        <v>1</v>
      </c>
      <c r="Y205" s="12" t="b">
        <f>IFERROR(IF(YEAR(Table810[[#This Row],[RISE Storage End Date]])=2025,TRUE,FALSE),FALSE)</f>
        <v>1</v>
      </c>
      <c r="Z205" s="11" t="b">
        <v>0</v>
      </c>
      <c r="AA205" s="13">
        <v>177</v>
      </c>
      <c r="AB205" s="13" t="s">
        <v>76</v>
      </c>
      <c r="AC205" s="13" t="s">
        <v>1053</v>
      </c>
      <c r="AD205" s="13" t="s">
        <v>1050</v>
      </c>
      <c r="AE205" s="13" t="s">
        <v>78</v>
      </c>
      <c r="AF205" s="13" t="s">
        <v>1054</v>
      </c>
      <c r="AG205" s="13" t="s">
        <v>91</v>
      </c>
      <c r="AH205" s="13" t="s">
        <v>102</v>
      </c>
      <c r="AI205" s="13" t="s">
        <v>93</v>
      </c>
      <c r="AJ205" s="14">
        <v>17746</v>
      </c>
      <c r="AK205" s="18"/>
      <c r="AL205" s="18"/>
      <c r="AM205" s="13" t="s">
        <v>1055</v>
      </c>
      <c r="AN205" s="13" t="s">
        <v>63</v>
      </c>
      <c r="AO205" s="13" t="s">
        <v>1050</v>
      </c>
      <c r="AP205" s="13" t="s">
        <v>1050</v>
      </c>
      <c r="AQ205" s="21" t="s">
        <v>64</v>
      </c>
      <c r="AR205" s="26">
        <v>27060</v>
      </c>
      <c r="AS205" s="26">
        <v>46007</v>
      </c>
      <c r="AT205" s="25">
        <v>18949</v>
      </c>
      <c r="AU205" s="25" t="s">
        <v>65</v>
      </c>
      <c r="AV205" s="25" t="s">
        <v>65</v>
      </c>
      <c r="AW205" s="25" t="s">
        <v>65</v>
      </c>
      <c r="AX205" s="24"/>
    </row>
    <row r="206" spans="1:50" ht="16.5" customHeight="1">
      <c r="A206" s="36" t="s">
        <v>1056</v>
      </c>
      <c r="B206" s="28"/>
      <c r="C206" s="28" t="s">
        <v>97</v>
      </c>
      <c r="D206" s="28"/>
      <c r="E206" s="28"/>
      <c r="F206" s="28">
        <v>7</v>
      </c>
      <c r="G206" s="28"/>
      <c r="H206" s="28" t="str">
        <f>IF(ISNUMBER(Table810[[#This Row],[Total Capacity]]),"USBR Enterprise Asset Registry",IF(Table810[[#This Row],[Total Capacity]]="",""))</f>
        <v/>
      </c>
      <c r="I206" s="28"/>
      <c r="J206" s="28"/>
      <c r="K206" s="28"/>
      <c r="L206" s="50" t="s">
        <v>98</v>
      </c>
      <c r="M206" s="48"/>
      <c r="N206" s="50" t="s">
        <v>98</v>
      </c>
      <c r="O206" s="28"/>
      <c r="P206" s="37"/>
      <c r="Q206" s="28" t="str">
        <f>IF(OR(Table810[[#This Row],[Post-Review Decision]]="Include", Table810[[#This Row],[Post-Review Decision]]="Include if possible", Table810[[#This Row],[Post-Review Decision]]="Include (Omit % Avg if needed)",  Table810[[#This Row],[Post-Review Decision]]="Include (Omit % Avg)"),Table810[[#This Row],[EAR Total Capacity]],"")</f>
        <v/>
      </c>
      <c r="R206" s="28"/>
      <c r="S206" s="45">
        <v>0</v>
      </c>
      <c r="T206" s="28"/>
      <c r="U206" s="28"/>
      <c r="V206" s="13" t="s">
        <v>406</v>
      </c>
      <c r="W206" s="12" t="b">
        <f>ISNUMBER(Table810[[#This Row],[EAR Total Capacity]])</f>
        <v>1</v>
      </c>
      <c r="X206" s="12" t="b">
        <f>IF(Table810[[#This Row],[Has  Storage for Full Averaging Period?]]="OK",TRUE,FALSE)</f>
        <v>0</v>
      </c>
      <c r="Y206" s="12" t="b">
        <f>IFERROR(IF(YEAR(Table810[[#This Row],[RISE Storage End Date]])=2025,TRUE,FALSE),FALSE)</f>
        <v>0</v>
      </c>
      <c r="Z206" s="11" t="b">
        <v>0</v>
      </c>
      <c r="AA206" s="13">
        <v>178</v>
      </c>
      <c r="AB206" s="13" t="s">
        <v>76</v>
      </c>
      <c r="AC206" s="13" t="s">
        <v>1057</v>
      </c>
      <c r="AD206" s="13" t="s">
        <v>1056</v>
      </c>
      <c r="AE206" s="13" t="s">
        <v>78</v>
      </c>
      <c r="AF206" s="13" t="s">
        <v>1058</v>
      </c>
      <c r="AG206" s="13" t="s">
        <v>179</v>
      </c>
      <c r="AH206" s="13" t="s">
        <v>180</v>
      </c>
      <c r="AI206" s="13" t="s">
        <v>103</v>
      </c>
      <c r="AJ206" s="14">
        <v>500</v>
      </c>
      <c r="AK206" s="18"/>
      <c r="AL206" s="18"/>
      <c r="AM206" s="13" t="s">
        <v>1059</v>
      </c>
      <c r="AN206" s="13" t="s">
        <v>183</v>
      </c>
      <c r="AO206" s="11" t="s">
        <v>1056</v>
      </c>
      <c r="AP206" s="11" t="s">
        <v>1056</v>
      </c>
      <c r="AQ206" s="21" t="s">
        <v>136</v>
      </c>
      <c r="AR206" s="25"/>
      <c r="AS206" s="25"/>
      <c r="AT206" s="25"/>
      <c r="AU206" s="25"/>
      <c r="AV206" s="25"/>
      <c r="AW206" s="25"/>
      <c r="AX206" s="24"/>
    </row>
    <row r="207" spans="1:50" ht="16.5" customHeight="1">
      <c r="A207" s="36" t="s">
        <v>1060</v>
      </c>
      <c r="B207" s="28"/>
      <c r="C207" s="28" t="s">
        <v>97</v>
      </c>
      <c r="D207" s="28"/>
      <c r="E207" s="28"/>
      <c r="F207" s="32" t="s">
        <v>61</v>
      </c>
      <c r="G207" s="28"/>
      <c r="H207" s="28" t="str">
        <f>IF(ISNUMBER(Table810[[#This Row],[Total Capacity]]),"USBR Enterprise Asset Registry",IF(Table810[[#This Row],[Total Capacity]]="",""))</f>
        <v/>
      </c>
      <c r="I207" s="28"/>
      <c r="J207" s="28"/>
      <c r="K207" s="28"/>
      <c r="L207" s="50" t="s">
        <v>98</v>
      </c>
      <c r="M207" s="48"/>
      <c r="N207" s="50" t="s">
        <v>98</v>
      </c>
      <c r="O207" s="28"/>
      <c r="P207" s="37"/>
      <c r="Q207" s="28" t="str">
        <f>IF(OR(Table810[[#This Row],[Post-Review Decision]]="Include", Table810[[#This Row],[Post-Review Decision]]="Include if possible", Table810[[#This Row],[Post-Review Decision]]="Include (Omit % Avg if needed)",  Table810[[#This Row],[Post-Review Decision]]="Include (Omit % Avg)"),Table810[[#This Row],[EAR Total Capacity]],"")</f>
        <v/>
      </c>
      <c r="R207" s="28"/>
      <c r="S207" s="45">
        <v>0</v>
      </c>
      <c r="T207" s="28"/>
      <c r="U207" s="28"/>
      <c r="V207" s="13" t="s">
        <v>530</v>
      </c>
      <c r="W207" s="12" t="b">
        <f>ISNUMBER(Table810[[#This Row],[EAR Total Capacity]])</f>
        <v>0</v>
      </c>
      <c r="X207" s="12" t="b">
        <f>IF(Table810[[#This Row],[Has  Storage for Full Averaging Period?]]="OK",TRUE,FALSE)</f>
        <v>0</v>
      </c>
      <c r="Y207" s="12" t="b">
        <f>IFERROR(IF(YEAR(Table810[[#This Row],[RISE Storage End Date]])=2025,TRUE,FALSE),FALSE)</f>
        <v>0</v>
      </c>
      <c r="Z207" s="11" t="b">
        <v>0</v>
      </c>
      <c r="AA207" s="13">
        <v>179</v>
      </c>
      <c r="AB207" s="13" t="s">
        <v>76</v>
      </c>
      <c r="AC207" s="13" t="s">
        <v>1061</v>
      </c>
      <c r="AD207" s="13" t="s">
        <v>1060</v>
      </c>
      <c r="AE207" s="13" t="s">
        <v>101</v>
      </c>
      <c r="AF207" s="13" t="s">
        <v>1062</v>
      </c>
      <c r="AG207" s="13" t="s">
        <v>91</v>
      </c>
      <c r="AH207" s="13" t="s">
        <v>102</v>
      </c>
      <c r="AI207" s="13" t="s">
        <v>103</v>
      </c>
      <c r="AJ207" s="13"/>
      <c r="AK207" s="15"/>
      <c r="AL207" s="15"/>
      <c r="AM207" s="15" t="s">
        <v>61</v>
      </c>
      <c r="AN207" s="15" t="s">
        <v>61</v>
      </c>
      <c r="AO207" s="15" t="s">
        <v>61</v>
      </c>
      <c r="AP207" s="15" t="s">
        <v>61</v>
      </c>
      <c r="AQ207" s="22"/>
      <c r="AR207" s="25"/>
      <c r="AS207" s="25"/>
      <c r="AT207" s="25"/>
      <c r="AU207" s="25"/>
      <c r="AV207" s="25"/>
      <c r="AW207" s="25"/>
      <c r="AX207" s="24"/>
    </row>
    <row r="208" spans="1:50" ht="16.5" customHeight="1">
      <c r="A208" s="36" t="s">
        <v>1063</v>
      </c>
      <c r="B208" s="32"/>
      <c r="C208" s="32" t="s">
        <v>97</v>
      </c>
      <c r="D208" s="32"/>
      <c r="E208" s="32"/>
      <c r="F208" s="28">
        <v>3708</v>
      </c>
      <c r="G208" s="32"/>
      <c r="H208" s="32" t="str">
        <f>IF(ISNUMBER(Table810[[#This Row],[Total Capacity]]),"USBR Enterprise Asset Registry",IF(Table810[[#This Row],[Total Capacity]]="",""))</f>
        <v/>
      </c>
      <c r="I208" s="32"/>
      <c r="J208" s="32"/>
      <c r="K208" s="32"/>
      <c r="L208" s="53" t="s">
        <v>98</v>
      </c>
      <c r="M208" s="48"/>
      <c r="N208" s="50" t="s">
        <v>98</v>
      </c>
      <c r="O208" s="32"/>
      <c r="P208" s="41"/>
      <c r="Q208" s="32" t="str">
        <f>IF(OR(Table810[[#This Row],[Post-Review Decision]]="Include", Table810[[#This Row],[Post-Review Decision]]="Include if possible", Table810[[#This Row],[Post-Review Decision]]="Include (Omit % Avg if needed)",  Table810[[#This Row],[Post-Review Decision]]="Include (Omit % Avg)"),Table810[[#This Row],[EAR Total Capacity]],"")</f>
        <v/>
      </c>
      <c r="R208" s="32"/>
      <c r="S208" s="45" t="s">
        <v>59</v>
      </c>
      <c r="T208" s="32"/>
      <c r="U208" s="32"/>
      <c r="V208" s="17" t="s">
        <v>61</v>
      </c>
      <c r="W208" s="12" t="b">
        <f>ISNUMBER(Table810[[#This Row],[EAR Total Capacity]])</f>
        <v>0</v>
      </c>
      <c r="X208" s="12" t="b">
        <f>IF(Table810[[#This Row],[Has  Storage for Full Averaging Period?]]="OK",TRUE,FALSE)</f>
        <v>0</v>
      </c>
      <c r="Y208" s="12" t="b">
        <f>IFERROR(IF(YEAR(Table810[[#This Row],[RISE Storage End Date]])=2025,TRUE,FALSE),FALSE)</f>
        <v>0</v>
      </c>
      <c r="Z208" s="11" t="b">
        <v>0</v>
      </c>
      <c r="AA208" s="16" t="s">
        <v>61</v>
      </c>
      <c r="AB208" s="17" t="s">
        <v>61</v>
      </c>
      <c r="AC208" s="17" t="s">
        <v>61</v>
      </c>
      <c r="AD208" s="17" t="s">
        <v>61</v>
      </c>
      <c r="AE208" s="17" t="s">
        <v>61</v>
      </c>
      <c r="AF208" s="17" t="s">
        <v>61</v>
      </c>
      <c r="AG208" s="17" t="s">
        <v>61</v>
      </c>
      <c r="AH208" s="17" t="s">
        <v>61</v>
      </c>
      <c r="AI208" s="17" t="s">
        <v>61</v>
      </c>
      <c r="AJ208" s="17" t="s">
        <v>61</v>
      </c>
      <c r="AK208" s="18"/>
      <c r="AL208" s="18"/>
      <c r="AM208" s="13" t="s">
        <v>1064</v>
      </c>
      <c r="AN208" s="11" t="s">
        <v>63</v>
      </c>
      <c r="AO208" s="11" t="s">
        <v>1063</v>
      </c>
      <c r="AP208" s="11" t="s">
        <v>1063</v>
      </c>
      <c r="AQ208" s="21" t="s">
        <v>136</v>
      </c>
      <c r="AR208" s="25"/>
      <c r="AS208" s="25"/>
      <c r="AT208" s="25"/>
      <c r="AU208" s="25"/>
      <c r="AV208" s="25"/>
      <c r="AW208" s="25"/>
      <c r="AX208" s="23"/>
    </row>
    <row r="209" spans="1:50" ht="16.5" customHeight="1">
      <c r="A209" s="36" t="s">
        <v>1065</v>
      </c>
      <c r="B209" s="28" t="s">
        <v>68</v>
      </c>
      <c r="C209" s="28" t="s">
        <v>69</v>
      </c>
      <c r="D209" s="28"/>
      <c r="E209" s="28" t="s">
        <v>70</v>
      </c>
      <c r="F209" s="28">
        <v>7184</v>
      </c>
      <c r="G209" s="28">
        <v>3</v>
      </c>
      <c r="H209" s="28" t="str">
        <f>IF(ISNUMBER(Table810[[#This Row],[Total Capacity]]),"USBR Enterprise Asset Registry",IF(Table810[[#This Row],[Total Capacity]]="",""))</f>
        <v>USBR Enterprise Asset Registry</v>
      </c>
      <c r="I209" s="28" t="s">
        <v>71</v>
      </c>
      <c r="J209" s="28" t="s">
        <v>72</v>
      </c>
      <c r="K209" s="33"/>
      <c r="L209" s="50">
        <v>135205</v>
      </c>
      <c r="M209" s="48"/>
      <c r="N209" s="50">
        <v>135205</v>
      </c>
      <c r="O209" s="28"/>
      <c r="P209" s="37"/>
      <c r="Q209" s="28">
        <f>IF(OR(Table810[[#This Row],[Post-Review Decision]]="Include", Table810[[#This Row],[Post-Review Decision]]="Include if possible", Table810[[#This Row],[Post-Review Decision]]="Include (Omit % Avg if needed)",  Table810[[#This Row],[Post-Review Decision]]="Include (Omit % Avg)"),Table810[[#This Row],[EAR Total Capacity]],"")</f>
        <v>135585</v>
      </c>
      <c r="R209" s="28">
        <v>135205</v>
      </c>
      <c r="S209" s="46">
        <v>135585</v>
      </c>
      <c r="T209" s="28" t="s">
        <v>1065</v>
      </c>
      <c r="U209" s="28" t="s">
        <v>1066</v>
      </c>
      <c r="V209" s="13" t="s">
        <v>139</v>
      </c>
      <c r="W209" s="12" t="b">
        <f>ISNUMBER(Table810[[#This Row],[EAR Total Capacity]])</f>
        <v>1</v>
      </c>
      <c r="X209" s="12" t="s">
        <v>75</v>
      </c>
      <c r="Y209" s="12" t="b">
        <f>IFERROR(IF(YEAR(Table810[[#This Row],[RISE Storage End Date]])=2025,TRUE,FALSE),FALSE)</f>
        <v>0</v>
      </c>
      <c r="Z209" s="11" t="b">
        <v>0</v>
      </c>
      <c r="AA209" s="13">
        <v>180</v>
      </c>
      <c r="AB209" s="13" t="s">
        <v>76</v>
      </c>
      <c r="AC209" s="13" t="s">
        <v>1067</v>
      </c>
      <c r="AD209" s="13" t="s">
        <v>1065</v>
      </c>
      <c r="AE209" s="13" t="s">
        <v>78</v>
      </c>
      <c r="AF209" s="13" t="s">
        <v>1068</v>
      </c>
      <c r="AG209" s="13" t="s">
        <v>80</v>
      </c>
      <c r="AH209" s="13" t="s">
        <v>81</v>
      </c>
      <c r="AI209" s="13" t="s">
        <v>93</v>
      </c>
      <c r="AJ209" s="19">
        <v>135585</v>
      </c>
      <c r="AK209" s="18"/>
      <c r="AL209" s="18"/>
      <c r="AM209" s="13" t="s">
        <v>1069</v>
      </c>
      <c r="AN209" s="13" t="s">
        <v>84</v>
      </c>
      <c r="AO209" s="13" t="s">
        <v>1065</v>
      </c>
      <c r="AP209" s="13" t="s">
        <v>1065</v>
      </c>
      <c r="AQ209" s="21" t="s">
        <v>64</v>
      </c>
      <c r="AR209" s="25"/>
      <c r="AS209" s="25"/>
      <c r="AT209" s="25"/>
      <c r="AU209" s="25"/>
      <c r="AV209" s="25"/>
      <c r="AW209" s="25"/>
      <c r="AX209" s="24"/>
    </row>
    <row r="210" spans="1:50" ht="16.5" customHeight="1">
      <c r="A210" s="36" t="s">
        <v>1070</v>
      </c>
      <c r="B210" s="28"/>
      <c r="C210" s="28" t="s">
        <v>97</v>
      </c>
      <c r="D210" s="28"/>
      <c r="E210" s="28"/>
      <c r="F210" s="28" t="s">
        <v>61</v>
      </c>
      <c r="G210" s="28"/>
      <c r="H210" s="28" t="str">
        <f>IF(ISNUMBER(Table810[[#This Row],[Total Capacity]]),"USBR Enterprise Asset Registry",IF(Table810[[#This Row],[Total Capacity]]="",""))</f>
        <v/>
      </c>
      <c r="I210" s="28"/>
      <c r="J210" s="28"/>
      <c r="K210" s="28"/>
      <c r="L210" s="50" t="s">
        <v>98</v>
      </c>
      <c r="M210" s="48"/>
      <c r="N210" s="50" t="s">
        <v>98</v>
      </c>
      <c r="O210" s="28"/>
      <c r="P210" s="37"/>
      <c r="Q210" s="28" t="str">
        <f>IF(OR(Table810[[#This Row],[Post-Review Decision]]="Include", Table810[[#This Row],[Post-Review Decision]]="Include if possible", Table810[[#This Row],[Post-Review Decision]]="Include (Omit % Avg if needed)",  Table810[[#This Row],[Post-Review Decision]]="Include (Omit % Avg)"),Table810[[#This Row],[EAR Total Capacity]],"")</f>
        <v/>
      </c>
      <c r="R210" s="28"/>
      <c r="S210" s="45">
        <v>0</v>
      </c>
      <c r="T210" s="28"/>
      <c r="U210" s="28"/>
      <c r="V210" s="13" t="s">
        <v>168</v>
      </c>
      <c r="W210" s="12" t="b">
        <f>ISNUMBER(Table810[[#This Row],[EAR Total Capacity]])</f>
        <v>0</v>
      </c>
      <c r="X210" s="12" t="b">
        <f>IF(Table810[[#This Row],[Has  Storage for Full Averaging Period?]]="OK",TRUE,FALSE)</f>
        <v>0</v>
      </c>
      <c r="Y210" s="12" t="b">
        <f>IFERROR(IF(YEAR(Table810[[#This Row],[RISE Storage End Date]])=2025,TRUE,FALSE),FALSE)</f>
        <v>0</v>
      </c>
      <c r="Z210" s="11" t="b">
        <v>0</v>
      </c>
      <c r="AA210" s="13">
        <v>181</v>
      </c>
      <c r="AB210" s="13" t="s">
        <v>76</v>
      </c>
      <c r="AC210" s="13" t="s">
        <v>1071</v>
      </c>
      <c r="AD210" s="13" t="s">
        <v>1070</v>
      </c>
      <c r="AE210" s="13" t="s">
        <v>101</v>
      </c>
      <c r="AF210" s="13" t="s">
        <v>1072</v>
      </c>
      <c r="AG210" s="13" t="s">
        <v>91</v>
      </c>
      <c r="AH210" s="13" t="s">
        <v>102</v>
      </c>
      <c r="AI210" s="13" t="s">
        <v>103</v>
      </c>
      <c r="AJ210" s="14"/>
      <c r="AK210" s="15"/>
      <c r="AL210" s="15"/>
      <c r="AM210" s="15" t="s">
        <v>61</v>
      </c>
      <c r="AN210" s="15" t="s">
        <v>61</v>
      </c>
      <c r="AO210" s="15" t="s">
        <v>61</v>
      </c>
      <c r="AP210" s="15" t="s">
        <v>61</v>
      </c>
      <c r="AQ210" s="22"/>
      <c r="AR210" s="25"/>
      <c r="AS210" s="25"/>
      <c r="AT210" s="25"/>
      <c r="AU210" s="25"/>
      <c r="AV210" s="25"/>
      <c r="AW210" s="25"/>
      <c r="AX210" s="24"/>
    </row>
    <row r="211" spans="1:50" ht="16.5" customHeight="1">
      <c r="A211" s="36" t="s">
        <v>1073</v>
      </c>
      <c r="B211" s="28"/>
      <c r="C211" s="28" t="s">
        <v>97</v>
      </c>
      <c r="D211" s="28"/>
      <c r="E211" s="28"/>
      <c r="F211" s="28" t="s">
        <v>61</v>
      </c>
      <c r="G211" s="28"/>
      <c r="H211" s="28" t="str">
        <f>IF(ISNUMBER(Table810[[#This Row],[Total Capacity]]),"USBR Enterprise Asset Registry",IF(Table810[[#This Row],[Total Capacity]]="",""))</f>
        <v/>
      </c>
      <c r="I211" s="28"/>
      <c r="J211" s="28"/>
      <c r="K211" s="28"/>
      <c r="L211" s="50" t="s">
        <v>98</v>
      </c>
      <c r="M211" s="48"/>
      <c r="N211" s="50" t="s">
        <v>98</v>
      </c>
      <c r="O211" s="28"/>
      <c r="P211" s="37"/>
      <c r="Q211" s="28" t="str">
        <f>IF(OR(Table810[[#This Row],[Post-Review Decision]]="Include", Table810[[#This Row],[Post-Review Decision]]="Include if possible", Table810[[#This Row],[Post-Review Decision]]="Include (Omit % Avg if needed)",  Table810[[#This Row],[Post-Review Decision]]="Include (Omit % Avg)"),Table810[[#This Row],[EAR Total Capacity]],"")</f>
        <v/>
      </c>
      <c r="R211" s="28"/>
      <c r="S211" s="45">
        <v>0</v>
      </c>
      <c r="T211" s="28"/>
      <c r="U211" s="28"/>
      <c r="V211" s="13" t="s">
        <v>442</v>
      </c>
      <c r="W211" s="12" t="b">
        <f>ISNUMBER(Table810[[#This Row],[EAR Total Capacity]])</f>
        <v>0</v>
      </c>
      <c r="X211" s="12" t="b">
        <f>IF(Table810[[#This Row],[Has  Storage for Full Averaging Period?]]="OK",TRUE,FALSE)</f>
        <v>0</v>
      </c>
      <c r="Y211" s="12" t="b">
        <f>IFERROR(IF(YEAR(Table810[[#This Row],[RISE Storage End Date]])=2025,TRUE,FALSE),FALSE)</f>
        <v>0</v>
      </c>
      <c r="Z211" s="11" t="b">
        <v>0</v>
      </c>
      <c r="AA211" s="13">
        <v>182</v>
      </c>
      <c r="AB211" s="13" t="s">
        <v>76</v>
      </c>
      <c r="AC211" s="13" t="s">
        <v>1074</v>
      </c>
      <c r="AD211" s="13" t="s">
        <v>1073</v>
      </c>
      <c r="AE211" s="13" t="s">
        <v>101</v>
      </c>
      <c r="AF211" s="13" t="s">
        <v>1075</v>
      </c>
      <c r="AG211" s="13" t="s">
        <v>91</v>
      </c>
      <c r="AH211" s="13" t="s">
        <v>92</v>
      </c>
      <c r="AI211" s="13"/>
      <c r="AJ211" s="14"/>
      <c r="AK211" s="15"/>
      <c r="AL211" s="15"/>
      <c r="AM211" s="15" t="s">
        <v>61</v>
      </c>
      <c r="AN211" s="15" t="s">
        <v>61</v>
      </c>
      <c r="AO211" s="15" t="s">
        <v>61</v>
      </c>
      <c r="AP211" s="15" t="s">
        <v>61</v>
      </c>
      <c r="AQ211" s="22"/>
      <c r="AR211" s="25"/>
      <c r="AS211" s="25"/>
      <c r="AT211" s="25"/>
      <c r="AU211" s="25"/>
      <c r="AV211" s="25"/>
      <c r="AW211" s="25"/>
      <c r="AX211" s="24"/>
    </row>
    <row r="212" spans="1:50" ht="16.5" customHeight="1">
      <c r="A212" s="36" t="s">
        <v>1076</v>
      </c>
      <c r="B212" s="28" t="s">
        <v>68</v>
      </c>
      <c r="C212" s="28" t="s">
        <v>69</v>
      </c>
      <c r="D212" s="28"/>
      <c r="E212" s="28" t="s">
        <v>70</v>
      </c>
      <c r="F212" s="28">
        <v>7185</v>
      </c>
      <c r="G212" s="28">
        <v>3</v>
      </c>
      <c r="H212" s="28" t="str">
        <f>IF(ISNUMBER(Table810[[#This Row],[Total Capacity]]),"USBR Enterprise Asset Registry",IF(Table810[[#This Row],[Total Capacity]]="",""))</f>
        <v>USBR Enterprise Asset Registry</v>
      </c>
      <c r="I212" s="28" t="s">
        <v>71</v>
      </c>
      <c r="J212" s="28" t="s">
        <v>72</v>
      </c>
      <c r="K212" s="33"/>
      <c r="L212" s="50">
        <v>847000</v>
      </c>
      <c r="M212" s="48"/>
      <c r="N212" s="50">
        <v>847000</v>
      </c>
      <c r="O212" s="28"/>
      <c r="P212" s="37"/>
      <c r="Q212" s="28">
        <f>IF(OR(Table810[[#This Row],[Post-Review Decision]]="Include", Table810[[#This Row],[Post-Review Decision]]="Include if possible", Table810[[#This Row],[Post-Review Decision]]="Include (Omit % Avg if needed)",  Table810[[#This Row],[Post-Review Decision]]="Include (Omit % Avg)"),Table810[[#This Row],[EAR Total Capacity]],"")</f>
        <v>847000</v>
      </c>
      <c r="R212" s="28">
        <v>847000</v>
      </c>
      <c r="S212" s="45">
        <v>0</v>
      </c>
      <c r="T212" s="28" t="s">
        <v>1077</v>
      </c>
      <c r="U212" s="28" t="s">
        <v>1078</v>
      </c>
      <c r="V212" s="13" t="s">
        <v>139</v>
      </c>
      <c r="W212" s="12" t="b">
        <f>ISNUMBER(Table810[[#This Row],[EAR Total Capacity]])</f>
        <v>1</v>
      </c>
      <c r="X212" s="12" t="s">
        <v>75</v>
      </c>
      <c r="Y212" s="12" t="b">
        <f>IFERROR(IF(YEAR(Table810[[#This Row],[RISE Storage End Date]])=2025,TRUE,FALSE),FALSE)</f>
        <v>0</v>
      </c>
      <c r="Z212" s="11" t="b">
        <v>0</v>
      </c>
      <c r="AA212" s="13">
        <v>184</v>
      </c>
      <c r="AB212" s="13" t="s">
        <v>76</v>
      </c>
      <c r="AC212" s="13" t="s">
        <v>1077</v>
      </c>
      <c r="AD212" s="13" t="s">
        <v>1076</v>
      </c>
      <c r="AE212" s="13" t="s">
        <v>78</v>
      </c>
      <c r="AF212" s="13" t="s">
        <v>1079</v>
      </c>
      <c r="AG212" s="13" t="s">
        <v>91</v>
      </c>
      <c r="AH212" s="13" t="s">
        <v>81</v>
      </c>
      <c r="AI212" s="13" t="s">
        <v>93</v>
      </c>
      <c r="AJ212" s="19">
        <v>847000</v>
      </c>
      <c r="AK212" s="18"/>
      <c r="AL212" s="18"/>
      <c r="AM212" s="13" t="s">
        <v>1080</v>
      </c>
      <c r="AN212" s="13" t="s">
        <v>63</v>
      </c>
      <c r="AO212" s="13" t="s">
        <v>1076</v>
      </c>
      <c r="AP212" s="13" t="s">
        <v>1077</v>
      </c>
      <c r="AQ212" s="21" t="s">
        <v>64</v>
      </c>
      <c r="AR212" s="25"/>
      <c r="AS212" s="25"/>
      <c r="AT212" s="25"/>
      <c r="AU212" s="25"/>
      <c r="AV212" s="25"/>
      <c r="AW212" s="25"/>
      <c r="AX212" s="24"/>
    </row>
    <row r="213" spans="1:50" ht="16.5" customHeight="1">
      <c r="A213" s="36" t="s">
        <v>1081</v>
      </c>
      <c r="B213" s="28" t="s">
        <v>68</v>
      </c>
      <c r="C213" s="28" t="s">
        <v>86</v>
      </c>
      <c r="D213" s="28"/>
      <c r="E213" s="28" t="s">
        <v>70</v>
      </c>
      <c r="F213" s="28">
        <v>378</v>
      </c>
      <c r="G213" s="28">
        <v>3</v>
      </c>
      <c r="H213" s="28" t="str">
        <f>IF(ISNUMBER(Table810[[#This Row],[Total Capacity]]),"USBR Enterprise Asset Registry",IF(Table810[[#This Row],[Total Capacity]]="",""))</f>
        <v>USBR Enterprise Asset Registry</v>
      </c>
      <c r="I213" s="28" t="s">
        <v>57</v>
      </c>
      <c r="J213" s="28" t="s">
        <v>72</v>
      </c>
      <c r="K213" s="33"/>
      <c r="L213" s="50">
        <v>9980</v>
      </c>
      <c r="M213" s="48"/>
      <c r="N213" s="50">
        <v>9980</v>
      </c>
      <c r="O213" s="28"/>
      <c r="P213" s="37"/>
      <c r="Q213" s="28">
        <f>IF(OR(Table810[[#This Row],[Post-Review Decision]]="Include", Table810[[#This Row],[Post-Review Decision]]="Include if possible", Table810[[#This Row],[Post-Review Decision]]="Include (Omit % Avg if needed)",  Table810[[#This Row],[Post-Review Decision]]="Include (Omit % Avg)"),Table810[[#This Row],[EAR Total Capacity]],"")</f>
        <v>9980</v>
      </c>
      <c r="R213" s="28">
        <v>9950</v>
      </c>
      <c r="S213" s="46">
        <v>9951</v>
      </c>
      <c r="T213" s="28" t="s">
        <v>1081</v>
      </c>
      <c r="U213" s="28" t="s">
        <v>1082</v>
      </c>
      <c r="V213" s="13" t="s">
        <v>1083</v>
      </c>
      <c r="W213" s="12" t="b">
        <f>ISNUMBER(Table810[[#This Row],[EAR Total Capacity]])</f>
        <v>1</v>
      </c>
      <c r="X213" s="12" t="b">
        <f>IF(Table810[[#This Row],[Has  Storage for Full Averaging Period?]]="OK",TRUE,FALSE)</f>
        <v>1</v>
      </c>
      <c r="Y213" s="12" t="b">
        <f>IFERROR(IF(YEAR(Table810[[#This Row],[RISE Storage End Date]])=2025,TRUE,FALSE),FALSE)</f>
        <v>1</v>
      </c>
      <c r="Z213" s="11" t="b">
        <v>0</v>
      </c>
      <c r="AA213" s="13">
        <v>183</v>
      </c>
      <c r="AB213" s="13" t="s">
        <v>76</v>
      </c>
      <c r="AC213" s="13" t="s">
        <v>1084</v>
      </c>
      <c r="AD213" s="13" t="s">
        <v>1081</v>
      </c>
      <c r="AE213" s="13" t="s">
        <v>78</v>
      </c>
      <c r="AF213" s="13" t="s">
        <v>1085</v>
      </c>
      <c r="AG213" s="13" t="s">
        <v>91</v>
      </c>
      <c r="AH213" s="13" t="s">
        <v>102</v>
      </c>
      <c r="AI213" s="13" t="s">
        <v>82</v>
      </c>
      <c r="AJ213" s="14">
        <v>9980</v>
      </c>
      <c r="AK213" s="18"/>
      <c r="AL213" s="18"/>
      <c r="AM213" s="13" t="s">
        <v>1086</v>
      </c>
      <c r="AN213" s="13" t="s">
        <v>63</v>
      </c>
      <c r="AO213" s="13" t="s">
        <v>1081</v>
      </c>
      <c r="AP213" s="13" t="s">
        <v>1081</v>
      </c>
      <c r="AQ213" s="21" t="s">
        <v>64</v>
      </c>
      <c r="AR213" s="26">
        <v>21916</v>
      </c>
      <c r="AS213" s="26">
        <v>46007</v>
      </c>
      <c r="AT213" s="25">
        <v>24093</v>
      </c>
      <c r="AU213" s="25" t="s">
        <v>65</v>
      </c>
      <c r="AV213" s="25" t="s">
        <v>65</v>
      </c>
      <c r="AW213" s="25" t="s">
        <v>65</v>
      </c>
      <c r="AX213" s="24"/>
    </row>
    <row r="214" spans="1:50" ht="16.5" customHeight="1">
      <c r="A214" s="36" t="s">
        <v>1087</v>
      </c>
      <c r="B214" s="28"/>
      <c r="C214" s="28" t="s">
        <v>97</v>
      </c>
      <c r="D214" s="28"/>
      <c r="E214" s="28"/>
      <c r="F214" s="28" t="s">
        <v>61</v>
      </c>
      <c r="G214" s="28"/>
      <c r="H214" s="28" t="str">
        <f>IF(ISNUMBER(Table810[[#This Row],[Total Capacity]]),"USBR Enterprise Asset Registry",IF(Table810[[#This Row],[Total Capacity]]="",""))</f>
        <v/>
      </c>
      <c r="I214" s="28"/>
      <c r="J214" s="28"/>
      <c r="K214" s="28"/>
      <c r="L214" s="50" t="s">
        <v>98</v>
      </c>
      <c r="M214" s="48"/>
      <c r="N214" s="50" t="s">
        <v>98</v>
      </c>
      <c r="O214" s="28"/>
      <c r="P214" s="37"/>
      <c r="Q214" s="28" t="str">
        <f>IF(OR(Table810[[#This Row],[Post-Review Decision]]="Include", Table810[[#This Row],[Post-Review Decision]]="Include if possible", Table810[[#This Row],[Post-Review Decision]]="Include (Omit % Avg if needed)",  Table810[[#This Row],[Post-Review Decision]]="Include (Omit % Avg)"),Table810[[#This Row],[EAR Total Capacity]],"")</f>
        <v/>
      </c>
      <c r="R214" s="28"/>
      <c r="S214" s="45">
        <v>0</v>
      </c>
      <c r="T214" s="28"/>
      <c r="U214" s="28"/>
      <c r="V214" s="13" t="s">
        <v>1088</v>
      </c>
      <c r="W214" s="12" t="b">
        <f>ISNUMBER(Table810[[#This Row],[EAR Total Capacity]])</f>
        <v>1</v>
      </c>
      <c r="X214" s="12" t="b">
        <f>IF(Table810[[#This Row],[Has  Storage for Full Averaging Period?]]="OK",TRUE,FALSE)</f>
        <v>0</v>
      </c>
      <c r="Y214" s="12" t="b">
        <f>IFERROR(IF(YEAR(Table810[[#This Row],[RISE Storage End Date]])=2025,TRUE,FALSE),FALSE)</f>
        <v>0</v>
      </c>
      <c r="Z214" s="11" t="b">
        <v>0</v>
      </c>
      <c r="AA214" s="13">
        <v>185</v>
      </c>
      <c r="AB214" s="13" t="s">
        <v>76</v>
      </c>
      <c r="AC214" s="13" t="s">
        <v>1089</v>
      </c>
      <c r="AD214" s="13" t="s">
        <v>1087</v>
      </c>
      <c r="AE214" s="13" t="s">
        <v>78</v>
      </c>
      <c r="AF214" s="13" t="s">
        <v>1090</v>
      </c>
      <c r="AG214" s="13" t="s">
        <v>109</v>
      </c>
      <c r="AH214" s="13" t="s">
        <v>92</v>
      </c>
      <c r="AI214" s="13" t="s">
        <v>103</v>
      </c>
      <c r="AJ214" s="14">
        <v>4875</v>
      </c>
      <c r="AK214" s="15"/>
      <c r="AL214" s="15"/>
      <c r="AM214" s="15" t="s">
        <v>61</v>
      </c>
      <c r="AN214" s="15" t="s">
        <v>61</v>
      </c>
      <c r="AO214" s="15" t="s">
        <v>61</v>
      </c>
      <c r="AP214" s="15" t="s">
        <v>61</v>
      </c>
      <c r="AQ214" s="21" t="s">
        <v>136</v>
      </c>
      <c r="AR214" s="25"/>
      <c r="AS214" s="25"/>
      <c r="AT214" s="25"/>
      <c r="AU214" s="25"/>
      <c r="AV214" s="25"/>
      <c r="AW214" s="25"/>
      <c r="AX214" s="24"/>
    </row>
    <row r="215" spans="1:50" ht="16.5" customHeight="1">
      <c r="A215" s="36" t="s">
        <v>1091</v>
      </c>
      <c r="B215" s="28" t="s">
        <v>68</v>
      </c>
      <c r="C215" s="28" t="s">
        <v>86</v>
      </c>
      <c r="D215" s="28"/>
      <c r="E215" s="28" t="s">
        <v>70</v>
      </c>
      <c r="F215" s="28">
        <v>379</v>
      </c>
      <c r="G215" s="28">
        <v>3</v>
      </c>
      <c r="H215" s="28" t="str">
        <f>IF(ISNUMBER(Table810[[#This Row],[Total Capacity]]),"USBR Enterprise Asset Registry",IF(Table810[[#This Row],[Total Capacity]]="",""))</f>
        <v>USBR Enterprise Asset Registry</v>
      </c>
      <c r="I215" s="28" t="s">
        <v>71</v>
      </c>
      <c r="J215" s="28" t="s">
        <v>127</v>
      </c>
      <c r="K215" s="33">
        <v>190502</v>
      </c>
      <c r="L215" s="50">
        <v>30196</v>
      </c>
      <c r="M215" s="51"/>
      <c r="N215" s="50">
        <v>30196</v>
      </c>
      <c r="O215" s="28"/>
      <c r="P215" s="37"/>
      <c r="Q215" s="28">
        <f>IF(OR(Table810[[#This Row],[Post-Review Decision]]="Include", Table810[[#This Row],[Post-Review Decision]]="Include if possible", Table810[[#This Row],[Post-Review Decision]]="Include (Omit % Avg if needed)",  Table810[[#This Row],[Post-Review Decision]]="Include (Omit % Avg)"),Table810[[#This Row],[EAR Total Capacity]],"")</f>
        <v>220990</v>
      </c>
      <c r="R215" s="28">
        <v>220698</v>
      </c>
      <c r="S215" s="46">
        <v>220698</v>
      </c>
      <c r="T215" s="28" t="s">
        <v>1091</v>
      </c>
      <c r="U215" s="28" t="s">
        <v>1092</v>
      </c>
      <c r="V215" s="13" t="s">
        <v>341</v>
      </c>
      <c r="W215" s="12" t="b">
        <f>ISNUMBER(Table810[[#This Row],[EAR Total Capacity]])</f>
        <v>1</v>
      </c>
      <c r="X215" s="12" t="b">
        <f>IF(Table810[[#This Row],[Has  Storage for Full Averaging Period?]]="OK",TRUE,FALSE)</f>
        <v>1</v>
      </c>
      <c r="Y215" s="12" t="b">
        <f>IFERROR(IF(YEAR(Table810[[#This Row],[RISE Storage End Date]])=2025,TRUE,FALSE),FALSE)</f>
        <v>1</v>
      </c>
      <c r="Z215" s="11" t="b">
        <v>0</v>
      </c>
      <c r="AA215" s="13">
        <v>186</v>
      </c>
      <c r="AB215" s="13" t="s">
        <v>76</v>
      </c>
      <c r="AC215" s="13" t="s">
        <v>1093</v>
      </c>
      <c r="AD215" s="13" t="s">
        <v>1091</v>
      </c>
      <c r="AE215" s="13" t="s">
        <v>78</v>
      </c>
      <c r="AF215" s="13" t="s">
        <v>1094</v>
      </c>
      <c r="AG215" s="13" t="s">
        <v>109</v>
      </c>
      <c r="AH215" s="13" t="s">
        <v>92</v>
      </c>
      <c r="AI215" s="13" t="s">
        <v>93</v>
      </c>
      <c r="AJ215" s="14">
        <v>220990</v>
      </c>
      <c r="AK215" s="18"/>
      <c r="AL215" s="18"/>
      <c r="AM215" s="13" t="s">
        <v>1095</v>
      </c>
      <c r="AN215" s="13" t="s">
        <v>95</v>
      </c>
      <c r="AO215" s="13" t="s">
        <v>1091</v>
      </c>
      <c r="AP215" s="13" t="s">
        <v>1091</v>
      </c>
      <c r="AQ215" s="21" t="s">
        <v>64</v>
      </c>
      <c r="AR215" s="26">
        <v>19633</v>
      </c>
      <c r="AS215" s="26">
        <v>46007</v>
      </c>
      <c r="AT215" s="25">
        <v>26376</v>
      </c>
      <c r="AU215" s="25" t="s">
        <v>65</v>
      </c>
      <c r="AV215" s="25" t="s">
        <v>65</v>
      </c>
      <c r="AW215" s="25" t="s">
        <v>65</v>
      </c>
      <c r="AX215" s="24"/>
    </row>
    <row r="216" spans="1:50" ht="16.5" customHeight="1">
      <c r="A216" s="36" t="s">
        <v>1096</v>
      </c>
      <c r="B216" s="28"/>
      <c r="C216" s="28" t="s">
        <v>97</v>
      </c>
      <c r="D216" s="28"/>
      <c r="E216" s="28"/>
      <c r="F216" s="28">
        <v>381</v>
      </c>
      <c r="G216" s="28"/>
      <c r="H216" s="28" t="str">
        <f>IF(ISNUMBER(Table810[[#This Row],[Total Capacity]]),"USBR Enterprise Asset Registry",IF(Table810[[#This Row],[Total Capacity]]="",""))</f>
        <v/>
      </c>
      <c r="I216" s="28"/>
      <c r="J216" s="28"/>
      <c r="K216" s="28"/>
      <c r="L216" s="50" t="s">
        <v>98</v>
      </c>
      <c r="M216" s="48"/>
      <c r="N216" s="50" t="s">
        <v>98</v>
      </c>
      <c r="O216" s="28"/>
      <c r="P216" s="37"/>
      <c r="Q216" s="28" t="str">
        <f>IF(OR(Table810[[#This Row],[Post-Review Decision]]="Include", Table810[[#This Row],[Post-Review Decision]]="Include if possible", Table810[[#This Row],[Post-Review Decision]]="Include (Omit % Avg if needed)",  Table810[[#This Row],[Post-Review Decision]]="Include (Omit % Avg)"),Table810[[#This Row],[EAR Total Capacity]],"")</f>
        <v/>
      </c>
      <c r="R216" s="28"/>
      <c r="S216" s="45" t="s">
        <v>59</v>
      </c>
      <c r="T216" s="28"/>
      <c r="U216" s="28"/>
      <c r="V216" s="17" t="s">
        <v>61</v>
      </c>
      <c r="W216" s="12" t="b">
        <f>ISNUMBER(Table810[[#This Row],[EAR Total Capacity]])</f>
        <v>0</v>
      </c>
      <c r="X216" s="12" t="b">
        <f>IF(Table810[[#This Row],[Has  Storage for Full Averaging Period?]]="OK",TRUE,FALSE)</f>
        <v>0</v>
      </c>
      <c r="Y216" s="12" t="b">
        <f>IFERROR(IF(YEAR(Table810[[#This Row],[RISE Storage End Date]])=2025,TRUE,FALSE),FALSE)</f>
        <v>0</v>
      </c>
      <c r="Z216" s="11" t="b">
        <v>0</v>
      </c>
      <c r="AA216" s="16" t="s">
        <v>61</v>
      </c>
      <c r="AB216" s="17" t="s">
        <v>61</v>
      </c>
      <c r="AC216" s="17" t="s">
        <v>61</v>
      </c>
      <c r="AD216" s="17" t="s">
        <v>61</v>
      </c>
      <c r="AE216" s="17" t="s">
        <v>61</v>
      </c>
      <c r="AF216" s="17" t="s">
        <v>61</v>
      </c>
      <c r="AG216" s="17" t="s">
        <v>61</v>
      </c>
      <c r="AH216" s="17" t="s">
        <v>61</v>
      </c>
      <c r="AI216" s="17" t="s">
        <v>61</v>
      </c>
      <c r="AJ216" s="17" t="s">
        <v>61</v>
      </c>
      <c r="AK216" s="18"/>
      <c r="AL216" s="18"/>
      <c r="AM216" s="13" t="s">
        <v>1097</v>
      </c>
      <c r="AN216" s="11" t="s">
        <v>63</v>
      </c>
      <c r="AO216" s="11" t="s">
        <v>1096</v>
      </c>
      <c r="AP216" s="11" t="e">
        <v>#N/A</v>
      </c>
      <c r="AQ216" s="21" t="s">
        <v>64</v>
      </c>
      <c r="AR216" s="26">
        <v>27031</v>
      </c>
      <c r="AS216" s="26">
        <v>43969</v>
      </c>
      <c r="AT216" s="25">
        <v>16939</v>
      </c>
      <c r="AU216" s="25" t="s">
        <v>65</v>
      </c>
      <c r="AV216" s="25" t="s">
        <v>66</v>
      </c>
      <c r="AW216" s="25" t="s">
        <v>66</v>
      </c>
      <c r="AX216" s="23"/>
    </row>
    <row r="217" spans="1:50" ht="16.5" customHeight="1">
      <c r="A217" s="36" t="s">
        <v>1098</v>
      </c>
      <c r="B217" s="28"/>
      <c r="C217" s="28" t="s">
        <v>97</v>
      </c>
      <c r="D217" s="28"/>
      <c r="E217" s="28"/>
      <c r="F217" s="28">
        <v>383</v>
      </c>
      <c r="G217" s="28"/>
      <c r="H217" s="28" t="str">
        <f>IF(ISNUMBER(Table810[[#This Row],[Total Capacity]]),"USBR Enterprise Asset Registry",IF(Table810[[#This Row],[Total Capacity]]="",""))</f>
        <v/>
      </c>
      <c r="I217" s="28"/>
      <c r="J217" s="28"/>
      <c r="K217" s="28"/>
      <c r="L217" s="50" t="s">
        <v>98</v>
      </c>
      <c r="M217" s="48"/>
      <c r="N217" s="50" t="s">
        <v>98</v>
      </c>
      <c r="O217" s="28"/>
      <c r="P217" s="37"/>
      <c r="Q217" s="28" t="str">
        <f>IF(OR(Table810[[#This Row],[Post-Review Decision]]="Include", Table810[[#This Row],[Post-Review Decision]]="Include if possible", Table810[[#This Row],[Post-Review Decision]]="Include (Omit % Avg if needed)",  Table810[[#This Row],[Post-Review Decision]]="Include (Omit % Avg)"),Table810[[#This Row],[EAR Total Capacity]],"")</f>
        <v/>
      </c>
      <c r="R217" s="28"/>
      <c r="S217" s="45" t="s">
        <v>59</v>
      </c>
      <c r="T217" s="28"/>
      <c r="U217" s="28"/>
      <c r="V217" s="17" t="s">
        <v>61</v>
      </c>
      <c r="W217" s="12" t="b">
        <f>ISNUMBER(Table810[[#This Row],[EAR Total Capacity]])</f>
        <v>0</v>
      </c>
      <c r="X217" s="12" t="b">
        <f>IF(Table810[[#This Row],[Has  Storage for Full Averaging Period?]]="OK",TRUE,FALSE)</f>
        <v>1</v>
      </c>
      <c r="Y217" s="12" t="b">
        <f>IFERROR(IF(YEAR(Table810[[#This Row],[RISE Storage End Date]])=2025,TRUE,FALSE),FALSE)</f>
        <v>1</v>
      </c>
      <c r="Z217" s="11" t="b">
        <v>0</v>
      </c>
      <c r="AA217" s="16" t="s">
        <v>61</v>
      </c>
      <c r="AB217" s="17" t="s">
        <v>61</v>
      </c>
      <c r="AC217" s="17" t="s">
        <v>61</v>
      </c>
      <c r="AD217" s="17" t="s">
        <v>61</v>
      </c>
      <c r="AE217" s="17" t="s">
        <v>61</v>
      </c>
      <c r="AF217" s="17" t="s">
        <v>61</v>
      </c>
      <c r="AG217" s="17" t="s">
        <v>61</v>
      </c>
      <c r="AH217" s="17" t="s">
        <v>61</v>
      </c>
      <c r="AI217" s="17" t="s">
        <v>61</v>
      </c>
      <c r="AJ217" s="17" t="s">
        <v>61</v>
      </c>
      <c r="AK217" s="18"/>
      <c r="AL217" s="18"/>
      <c r="AM217" s="13" t="s">
        <v>1099</v>
      </c>
      <c r="AN217" s="11" t="s">
        <v>63</v>
      </c>
      <c r="AO217" s="11" t="s">
        <v>1098</v>
      </c>
      <c r="AP217" s="11" t="s">
        <v>1098</v>
      </c>
      <c r="AQ217" s="21" t="s">
        <v>64</v>
      </c>
      <c r="AR217" s="26">
        <v>25842</v>
      </c>
      <c r="AS217" s="26">
        <v>46007</v>
      </c>
      <c r="AT217" s="25">
        <v>20167</v>
      </c>
      <c r="AU217" s="25" t="s">
        <v>65</v>
      </c>
      <c r="AV217" s="25" t="s">
        <v>65</v>
      </c>
      <c r="AW217" s="25" t="s">
        <v>65</v>
      </c>
      <c r="AX217" s="23"/>
    </row>
    <row r="218" spans="1:50" ht="16.5" customHeight="1">
      <c r="A218" s="36" t="s">
        <v>1100</v>
      </c>
      <c r="B218" s="28" t="s">
        <v>68</v>
      </c>
      <c r="C218" s="28" t="s">
        <v>321</v>
      </c>
      <c r="D218" s="28"/>
      <c r="E218" s="28" t="s">
        <v>70</v>
      </c>
      <c r="F218" s="28">
        <v>384</v>
      </c>
      <c r="G218" s="28">
        <v>3</v>
      </c>
      <c r="H218" s="28" t="str">
        <f>IF(ISNUMBER(Table810[[#This Row],[Total Capacity]]),"USBR Enterprise Asset Registry",IF(Table810[[#This Row],[Total Capacity]]="",""))</f>
        <v>USBR Enterprise Asset Registry</v>
      </c>
      <c r="I218" s="28" t="s">
        <v>257</v>
      </c>
      <c r="J218" s="28" t="s">
        <v>127</v>
      </c>
      <c r="K218" s="33">
        <v>49500</v>
      </c>
      <c r="L218" s="50">
        <v>308974</v>
      </c>
      <c r="M218" s="51">
        <v>311000</v>
      </c>
      <c r="N218" s="50">
        <v>311000</v>
      </c>
      <c r="O218" s="28"/>
      <c r="P218" s="37"/>
      <c r="Q218" s="28">
        <f>IF(OR(Table810[[#This Row],[Post-Review Decision]]="Include", Table810[[#This Row],[Post-Review Decision]]="Include if possible", Table810[[#This Row],[Post-Review Decision]]="Include (Omit % Avg if needed)",  Table810[[#This Row],[Post-Review Decision]]="Include (Omit % Avg)"),Table810[[#This Row],[EAR Total Capacity]],"")</f>
        <v>361500</v>
      </c>
      <c r="R218" s="28">
        <v>360500</v>
      </c>
      <c r="S218" s="46">
        <v>358474</v>
      </c>
      <c r="T218" s="28" t="s">
        <v>1100</v>
      </c>
      <c r="U218" s="28" t="s">
        <v>1101</v>
      </c>
      <c r="V218" s="13" t="s">
        <v>606</v>
      </c>
      <c r="W218" s="12" t="b">
        <f>ISNUMBER(Table810[[#This Row],[EAR Total Capacity]])</f>
        <v>1</v>
      </c>
      <c r="X218" s="12" t="b">
        <f>IF(Table810[[#This Row],[Has  Storage for Full Averaging Period?]]="OK",TRUE,FALSE)</f>
        <v>0</v>
      </c>
      <c r="Y218" s="12" t="b">
        <f>IFERROR(IF(YEAR(Table810[[#This Row],[RISE Storage End Date]])=2025,TRUE,FALSE),FALSE)</f>
        <v>1</v>
      </c>
      <c r="Z218" s="11" t="b">
        <v>0</v>
      </c>
      <c r="AA218" s="13">
        <v>188</v>
      </c>
      <c r="AB218" s="13" t="s">
        <v>76</v>
      </c>
      <c r="AC218" s="13" t="s">
        <v>1102</v>
      </c>
      <c r="AD218" s="13" t="s">
        <v>1100</v>
      </c>
      <c r="AE218" s="13" t="s">
        <v>78</v>
      </c>
      <c r="AF218" s="13" t="s">
        <v>1103</v>
      </c>
      <c r="AG218" s="13" t="s">
        <v>91</v>
      </c>
      <c r="AH218" s="13" t="s">
        <v>102</v>
      </c>
      <c r="AI218" s="13" t="s">
        <v>93</v>
      </c>
      <c r="AJ218" s="14">
        <v>361500</v>
      </c>
      <c r="AK218" s="18"/>
      <c r="AL218" s="18"/>
      <c r="AM218" s="13" t="s">
        <v>1104</v>
      </c>
      <c r="AN218" s="13" t="s">
        <v>63</v>
      </c>
      <c r="AO218" s="13" t="s">
        <v>1100</v>
      </c>
      <c r="AP218" s="13" t="s">
        <v>1100</v>
      </c>
      <c r="AQ218" s="21" t="s">
        <v>64</v>
      </c>
      <c r="AR218" s="26">
        <v>34005</v>
      </c>
      <c r="AS218" s="26">
        <v>46006</v>
      </c>
      <c r="AT218" s="25">
        <v>12003</v>
      </c>
      <c r="AU218" s="25" t="s">
        <v>66</v>
      </c>
      <c r="AV218" s="25" t="s">
        <v>65</v>
      </c>
      <c r="AW218" s="25" t="s">
        <v>66</v>
      </c>
      <c r="AX218" s="24"/>
    </row>
    <row r="219" spans="1:50" ht="16.5" customHeight="1">
      <c r="A219" s="36" t="s">
        <v>1105</v>
      </c>
      <c r="B219" s="28" t="s">
        <v>68</v>
      </c>
      <c r="C219" s="28" t="s">
        <v>69</v>
      </c>
      <c r="D219" s="28"/>
      <c r="E219" s="28" t="s">
        <v>70</v>
      </c>
      <c r="F219" s="28">
        <v>7186</v>
      </c>
      <c r="G219" s="28">
        <v>3</v>
      </c>
      <c r="H219" s="28" t="str">
        <f>IF(ISNUMBER(Table810[[#This Row],[Total Capacity]]),"USBR Enterprise Asset Registry",IF(Table810[[#This Row],[Total Capacity]]="",""))</f>
        <v>USBR Enterprise Asset Registry</v>
      </c>
      <c r="I219" s="28" t="s">
        <v>71</v>
      </c>
      <c r="J219" s="28" t="s">
        <v>72</v>
      </c>
      <c r="K219" s="33"/>
      <c r="L219" s="50">
        <v>239000</v>
      </c>
      <c r="M219" s="48"/>
      <c r="N219" s="50">
        <v>239000</v>
      </c>
      <c r="O219" s="28"/>
      <c r="P219" s="37"/>
      <c r="Q219" s="28">
        <f>IF(OR(Table810[[#This Row],[Post-Review Decision]]="Include", Table810[[#This Row],[Post-Review Decision]]="Include if possible", Table810[[#This Row],[Post-Review Decision]]="Include (Omit % Avg if needed)",  Table810[[#This Row],[Post-Review Decision]]="Include (Omit % Avg)"),Table810[[#This Row],[EAR Total Capacity]],"")</f>
        <v>239000</v>
      </c>
      <c r="R219" s="28">
        <v>239000</v>
      </c>
      <c r="S219" s="45">
        <v>0</v>
      </c>
      <c r="T219" s="28" t="s">
        <v>1105</v>
      </c>
      <c r="U219" s="28" t="s">
        <v>1106</v>
      </c>
      <c r="V219" s="13" t="s">
        <v>385</v>
      </c>
      <c r="W219" s="12" t="b">
        <f>ISNUMBER(Table810[[#This Row],[EAR Total Capacity]])</f>
        <v>1</v>
      </c>
      <c r="X219" s="12" t="s">
        <v>75</v>
      </c>
      <c r="Y219" s="12" t="b">
        <f>IFERROR(IF(YEAR(Table810[[#This Row],[RISE Storage End Date]])=2025,TRUE,FALSE),FALSE)</f>
        <v>0</v>
      </c>
      <c r="Z219" s="11" t="b">
        <v>0</v>
      </c>
      <c r="AA219" s="13">
        <v>189</v>
      </c>
      <c r="AB219" s="13" t="s">
        <v>76</v>
      </c>
      <c r="AC219" s="13" t="s">
        <v>1107</v>
      </c>
      <c r="AD219" s="13" t="s">
        <v>1105</v>
      </c>
      <c r="AE219" s="13" t="s">
        <v>78</v>
      </c>
      <c r="AF219" s="13" t="s">
        <v>1108</v>
      </c>
      <c r="AG219" s="13" t="s">
        <v>80</v>
      </c>
      <c r="AH219" s="13" t="s">
        <v>81</v>
      </c>
      <c r="AI219" s="13" t="s">
        <v>93</v>
      </c>
      <c r="AJ219" s="19">
        <v>239000</v>
      </c>
      <c r="AK219" s="18"/>
      <c r="AL219" s="18"/>
      <c r="AM219" s="13" t="s">
        <v>1109</v>
      </c>
      <c r="AN219" s="13" t="s">
        <v>84</v>
      </c>
      <c r="AO219" s="13" t="s">
        <v>1105</v>
      </c>
      <c r="AP219" s="13" t="s">
        <v>1105</v>
      </c>
      <c r="AQ219" s="21" t="s">
        <v>64</v>
      </c>
      <c r="AR219" s="25"/>
      <c r="AS219" s="25"/>
      <c r="AT219" s="25"/>
      <c r="AU219" s="25"/>
      <c r="AV219" s="25"/>
      <c r="AW219" s="25"/>
      <c r="AX219" s="24"/>
    </row>
    <row r="220" spans="1:50" ht="16.5" customHeight="1">
      <c r="A220" s="36" t="s">
        <v>1110</v>
      </c>
      <c r="B220" s="28" t="s">
        <v>68</v>
      </c>
      <c r="C220" s="28" t="s">
        <v>69</v>
      </c>
      <c r="D220" s="28"/>
      <c r="E220" s="28" t="s">
        <v>70</v>
      </c>
      <c r="F220" s="28">
        <v>7187</v>
      </c>
      <c r="G220" s="28">
        <v>3</v>
      </c>
      <c r="H220" s="28" t="str">
        <f>IF(ISNUMBER(Table810[[#This Row],[Total Capacity]]),"USBR Enterprise Asset Registry",IF(Table810[[#This Row],[Total Capacity]]="",""))</f>
        <v>USBR Enterprise Asset Registry</v>
      </c>
      <c r="I220" s="28" t="s">
        <v>71</v>
      </c>
      <c r="J220" s="28" t="s">
        <v>72</v>
      </c>
      <c r="K220" s="28"/>
      <c r="L220" s="50">
        <v>158000</v>
      </c>
      <c r="M220" s="48"/>
      <c r="N220" s="50">
        <v>158000</v>
      </c>
      <c r="O220" s="28"/>
      <c r="P220" s="37"/>
      <c r="Q220" s="28">
        <f>IF(OR(Table810[[#This Row],[Post-Review Decision]]="Include", Table810[[#This Row],[Post-Review Decision]]="Include if possible", Table810[[#This Row],[Post-Review Decision]]="Include (Omit % Avg if needed)",  Table810[[#This Row],[Post-Review Decision]]="Include (Omit % Avg)"),Table810[[#This Row],[EAR Total Capacity]],"")</f>
        <v>158000</v>
      </c>
      <c r="R220" s="28">
        <v>158000</v>
      </c>
      <c r="S220" s="45">
        <v>0</v>
      </c>
      <c r="T220" s="28" t="s">
        <v>1110</v>
      </c>
      <c r="U220" s="28" t="s">
        <v>1111</v>
      </c>
      <c r="V220" s="13" t="s">
        <v>385</v>
      </c>
      <c r="W220" s="12" t="b">
        <f>ISNUMBER(Table810[[#This Row],[EAR Total Capacity]])</f>
        <v>1</v>
      </c>
      <c r="X220" s="12" t="s">
        <v>75</v>
      </c>
      <c r="Y220" s="12" t="b">
        <f>IFERROR(IF(YEAR(Table810[[#This Row],[RISE Storage End Date]])=2025,TRUE,FALSE),FALSE)</f>
        <v>0</v>
      </c>
      <c r="Z220" s="11" t="b">
        <v>0</v>
      </c>
      <c r="AA220" s="13">
        <v>190</v>
      </c>
      <c r="AB220" s="13" t="s">
        <v>76</v>
      </c>
      <c r="AC220" s="13" t="s">
        <v>1112</v>
      </c>
      <c r="AD220" s="13" t="s">
        <v>1110</v>
      </c>
      <c r="AE220" s="13" t="s">
        <v>78</v>
      </c>
      <c r="AF220" s="13" t="s">
        <v>1113</v>
      </c>
      <c r="AG220" s="13" t="s">
        <v>80</v>
      </c>
      <c r="AH220" s="13" t="s">
        <v>81</v>
      </c>
      <c r="AI220" s="13" t="s">
        <v>93</v>
      </c>
      <c r="AJ220" s="19">
        <v>158000</v>
      </c>
      <c r="AK220" s="18"/>
      <c r="AL220" s="18"/>
      <c r="AM220" s="13" t="s">
        <v>1114</v>
      </c>
      <c r="AN220" s="13" t="s">
        <v>84</v>
      </c>
      <c r="AO220" s="13" t="s">
        <v>1110</v>
      </c>
      <c r="AP220" s="13" t="s">
        <v>1110</v>
      </c>
      <c r="AQ220" s="21" t="s">
        <v>64</v>
      </c>
      <c r="AR220" s="25"/>
      <c r="AS220" s="25"/>
      <c r="AT220" s="25"/>
      <c r="AU220" s="25"/>
      <c r="AV220" s="25"/>
      <c r="AW220" s="25"/>
      <c r="AX220" s="24"/>
    </row>
    <row r="221" spans="1:50" ht="16.5" customHeight="1">
      <c r="A221" s="36" t="s">
        <v>1115</v>
      </c>
      <c r="B221" s="28"/>
      <c r="C221" s="28" t="s">
        <v>97</v>
      </c>
      <c r="D221" s="28"/>
      <c r="E221" s="28"/>
      <c r="F221" s="28">
        <v>3673</v>
      </c>
      <c r="G221" s="28"/>
      <c r="H221" s="28" t="str">
        <f>IF(ISNUMBER(Table810[[#This Row],[Total Capacity]]),"USBR Enterprise Asset Registry",IF(Table810[[#This Row],[Total Capacity]]="",""))</f>
        <v/>
      </c>
      <c r="I221" s="28"/>
      <c r="J221" s="28"/>
      <c r="K221" s="28"/>
      <c r="L221" s="50" t="s">
        <v>98</v>
      </c>
      <c r="M221" s="48"/>
      <c r="N221" s="50" t="s">
        <v>98</v>
      </c>
      <c r="O221" s="28"/>
      <c r="P221" s="37"/>
      <c r="Q221" s="28" t="str">
        <f>IF(OR(Table810[[#This Row],[Post-Review Decision]]="Include", Table810[[#This Row],[Post-Review Decision]]="Include if possible", Table810[[#This Row],[Post-Review Decision]]="Include (Omit % Avg if needed)",  Table810[[#This Row],[Post-Review Decision]]="Include (Omit % Avg)"),Table810[[#This Row],[EAR Total Capacity]],"")</f>
        <v/>
      </c>
      <c r="R221" s="28">
        <v>260</v>
      </c>
      <c r="S221" s="45">
        <v>297</v>
      </c>
      <c r="T221" s="28"/>
      <c r="U221" s="28"/>
      <c r="V221" s="13" t="s">
        <v>74</v>
      </c>
      <c r="W221" s="12" t="b">
        <f>ISNUMBER(Table810[[#This Row],[EAR Total Capacity]])</f>
        <v>1</v>
      </c>
      <c r="X221" s="12" t="b">
        <f>IF(Table810[[#This Row],[Has  Storage for Full Averaging Period?]]="OK",TRUE,FALSE)</f>
        <v>0</v>
      </c>
      <c r="Y221" s="12" t="b">
        <f>IFERROR(IF(YEAR(Table810[[#This Row],[RISE Storage End Date]])=2025,TRUE,FALSE),FALSE)</f>
        <v>0</v>
      </c>
      <c r="Z221" s="11" t="b">
        <v>0</v>
      </c>
      <c r="AA221" s="13">
        <v>191</v>
      </c>
      <c r="AB221" s="13" t="s">
        <v>76</v>
      </c>
      <c r="AC221" s="13" t="s">
        <v>1116</v>
      </c>
      <c r="AD221" s="13" t="s">
        <v>1115</v>
      </c>
      <c r="AE221" s="13" t="s">
        <v>78</v>
      </c>
      <c r="AF221" s="13" t="s">
        <v>1117</v>
      </c>
      <c r="AG221" s="13" t="s">
        <v>80</v>
      </c>
      <c r="AH221" s="13" t="s">
        <v>81</v>
      </c>
      <c r="AI221" s="13" t="s">
        <v>110</v>
      </c>
      <c r="AJ221" s="14">
        <v>340</v>
      </c>
      <c r="AK221" s="18"/>
      <c r="AL221" s="18"/>
      <c r="AM221" s="13" t="s">
        <v>1118</v>
      </c>
      <c r="AN221" s="13" t="s">
        <v>84</v>
      </c>
      <c r="AO221" s="11" t="s">
        <v>1115</v>
      </c>
      <c r="AP221" s="11" t="s">
        <v>1115</v>
      </c>
      <c r="AQ221" s="21" t="s">
        <v>136</v>
      </c>
      <c r="AR221" s="25"/>
      <c r="AS221" s="25"/>
      <c r="AT221" s="25"/>
      <c r="AU221" s="25"/>
      <c r="AV221" s="25"/>
      <c r="AW221" s="25"/>
      <c r="AX221" s="24"/>
    </row>
    <row r="222" spans="1:50" ht="16.5" customHeight="1">
      <c r="A222" s="36" t="s">
        <v>1119</v>
      </c>
      <c r="B222" s="28" t="s">
        <v>68</v>
      </c>
      <c r="C222" s="29" t="s">
        <v>86</v>
      </c>
      <c r="D222" s="29"/>
      <c r="E222" s="28" t="s">
        <v>70</v>
      </c>
      <c r="F222" s="57">
        <v>390</v>
      </c>
      <c r="G222" s="28">
        <v>3</v>
      </c>
      <c r="H222" s="29" t="str">
        <f>IF(ISNUMBER(Table810[[#This Row],[Total Capacity]]),"USBR Enterprise Asset Registry",IF(Table810[[#This Row],[Total Capacity]]="",""))</f>
        <v>USBR Enterprise Asset Registry</v>
      </c>
      <c r="I222" s="28" t="s">
        <v>57</v>
      </c>
      <c r="J222" s="28" t="s">
        <v>127</v>
      </c>
      <c r="K222" s="33">
        <v>99230</v>
      </c>
      <c r="L222" s="50">
        <v>34510</v>
      </c>
      <c r="M222" s="48"/>
      <c r="N222" s="50">
        <v>34510</v>
      </c>
      <c r="O222" s="28"/>
      <c r="P222" s="38" t="s">
        <v>1120</v>
      </c>
      <c r="Q222" s="29">
        <f>IF(OR(Table810[[#This Row],[Post-Review Decision]]="Include", Table810[[#This Row],[Post-Review Decision]]="Include if possible", Table810[[#This Row],[Post-Review Decision]]="Include (Omit % Avg if needed)",  Table810[[#This Row],[Post-Review Decision]]="Include (Omit % Avg)"),Table810[[#This Row],[EAR Total Capacity]],"")</f>
        <v>133740</v>
      </c>
      <c r="R222" s="29">
        <v>129747</v>
      </c>
      <c r="S222" s="46">
        <v>132104</v>
      </c>
      <c r="T222" s="29" t="s">
        <v>1121</v>
      </c>
      <c r="U222" s="29" t="s">
        <v>1122</v>
      </c>
      <c r="V222" s="13" t="s">
        <v>121</v>
      </c>
      <c r="W222" s="12" t="b">
        <f>ISNUMBER(Table810[[#This Row],[EAR Total Capacity]])</f>
        <v>1</v>
      </c>
      <c r="X222" s="12" t="b">
        <f>IF(Table810[[#This Row],[Has  Storage for Full Averaging Period?]]="OK",TRUE,FALSE)</f>
        <v>1</v>
      </c>
      <c r="Y222" s="12" t="b">
        <f>IFERROR(IF(YEAR(Table810[[#This Row],[RISE Storage End Date]])=2025,TRUE,FALSE),FALSE)</f>
        <v>1</v>
      </c>
      <c r="Z222" s="11" t="b">
        <v>0</v>
      </c>
      <c r="AA222" s="13">
        <v>192</v>
      </c>
      <c r="AB222" s="13" t="s">
        <v>76</v>
      </c>
      <c r="AC222" s="13" t="s">
        <v>1123</v>
      </c>
      <c r="AD222" s="13" t="s">
        <v>1119</v>
      </c>
      <c r="AE222" s="13" t="s">
        <v>78</v>
      </c>
      <c r="AF222" s="13" t="s">
        <v>1124</v>
      </c>
      <c r="AG222" s="13" t="s">
        <v>109</v>
      </c>
      <c r="AH222" s="13" t="s">
        <v>92</v>
      </c>
      <c r="AI222" s="13" t="s">
        <v>93</v>
      </c>
      <c r="AJ222" s="13">
        <v>133740</v>
      </c>
      <c r="AK222" s="18"/>
      <c r="AL222" s="18"/>
      <c r="AM222" s="13" t="s">
        <v>1125</v>
      </c>
      <c r="AN222" s="13" t="s">
        <v>95</v>
      </c>
      <c r="AO222" s="13" t="s">
        <v>1119</v>
      </c>
      <c r="AP222" s="13" t="s">
        <v>1126</v>
      </c>
      <c r="AQ222" s="21" t="s">
        <v>64</v>
      </c>
      <c r="AR222" s="26">
        <v>23559</v>
      </c>
      <c r="AS222" s="26">
        <v>46007</v>
      </c>
      <c r="AT222" s="25">
        <v>22437</v>
      </c>
      <c r="AU222" s="25" t="s">
        <v>65</v>
      </c>
      <c r="AV222" s="25" t="s">
        <v>65</v>
      </c>
      <c r="AW222" s="25" t="s">
        <v>65</v>
      </c>
      <c r="AX222" s="24"/>
    </row>
    <row r="223" spans="1:50" ht="16.5" customHeight="1">
      <c r="A223" s="36" t="s">
        <v>1127</v>
      </c>
      <c r="B223" s="32"/>
      <c r="C223" s="32" t="s">
        <v>97</v>
      </c>
      <c r="D223" s="32"/>
      <c r="E223" s="32"/>
      <c r="F223" s="28" t="s">
        <v>61</v>
      </c>
      <c r="G223" s="32"/>
      <c r="H223" s="32" t="str">
        <f>IF(ISNUMBER(Table810[[#This Row],[Total Capacity]]),"USBR Enterprise Asset Registry",IF(Table810[[#This Row],[Total Capacity]]="",""))</f>
        <v/>
      </c>
      <c r="I223" s="32"/>
      <c r="J223" s="32"/>
      <c r="K223" s="32"/>
      <c r="L223" s="53" t="s">
        <v>98</v>
      </c>
      <c r="M223" s="48"/>
      <c r="N223" s="50" t="s">
        <v>98</v>
      </c>
      <c r="O223" s="32"/>
      <c r="P223" s="41" t="s">
        <v>1128</v>
      </c>
      <c r="Q223" s="32" t="str">
        <f>IF(OR(Table810[[#This Row],[Post-Review Decision]]="Include", Table810[[#This Row],[Post-Review Decision]]="Include if possible", Table810[[#This Row],[Post-Review Decision]]="Include (Omit % Avg if needed)",  Table810[[#This Row],[Post-Review Decision]]="Include (Omit % Avg)"),Table810[[#This Row],[EAR Total Capacity]],"")</f>
        <v/>
      </c>
      <c r="R223" s="32"/>
      <c r="S223" s="45">
        <v>0</v>
      </c>
      <c r="T223" s="32"/>
      <c r="U223" s="32"/>
      <c r="V223" s="13" t="s">
        <v>413</v>
      </c>
      <c r="W223" s="12" t="b">
        <f>ISNUMBER(Table810[[#This Row],[EAR Total Capacity]])</f>
        <v>0</v>
      </c>
      <c r="X223" s="12" t="b">
        <f>IF(Table810[[#This Row],[Has  Storage for Full Averaging Period?]]="OK",TRUE,FALSE)</f>
        <v>0</v>
      </c>
      <c r="Y223" s="12" t="b">
        <f>IFERROR(IF(YEAR(Table810[[#This Row],[RISE Storage End Date]])=2025,TRUE,FALSE),FALSE)</f>
        <v>0</v>
      </c>
      <c r="Z223" s="11" t="b">
        <v>0</v>
      </c>
      <c r="AA223" s="13">
        <v>193</v>
      </c>
      <c r="AB223" s="13" t="s">
        <v>76</v>
      </c>
      <c r="AC223" s="13" t="s">
        <v>1129</v>
      </c>
      <c r="AD223" s="13" t="s">
        <v>1127</v>
      </c>
      <c r="AE223" s="13" t="s">
        <v>101</v>
      </c>
      <c r="AF223" s="13" t="s">
        <v>1127</v>
      </c>
      <c r="AG223" s="13" t="s">
        <v>109</v>
      </c>
      <c r="AH223" s="13" t="s">
        <v>92</v>
      </c>
      <c r="AI223" s="13" t="s">
        <v>103</v>
      </c>
      <c r="AJ223" s="13"/>
      <c r="AK223" s="15"/>
      <c r="AL223" s="15"/>
      <c r="AM223" s="15" t="s">
        <v>61</v>
      </c>
      <c r="AN223" s="15" t="s">
        <v>61</v>
      </c>
      <c r="AO223" s="15" t="s">
        <v>61</v>
      </c>
      <c r="AP223" s="15" t="s">
        <v>61</v>
      </c>
      <c r="AQ223" s="22"/>
      <c r="AR223" s="25"/>
      <c r="AS223" s="25"/>
      <c r="AT223" s="25"/>
      <c r="AU223" s="25"/>
      <c r="AV223" s="25"/>
      <c r="AW223" s="25"/>
      <c r="AX223" s="24"/>
    </row>
    <row r="224" spans="1:50" ht="16.5" customHeight="1">
      <c r="A224" s="36" t="s">
        <v>1130</v>
      </c>
      <c r="B224" s="28" t="s">
        <v>68</v>
      </c>
      <c r="C224" s="28" t="s">
        <v>86</v>
      </c>
      <c r="D224" s="28"/>
      <c r="E224" s="28" t="s">
        <v>70</v>
      </c>
      <c r="F224" s="28">
        <v>387</v>
      </c>
      <c r="G224" s="28">
        <v>3</v>
      </c>
      <c r="H224" s="28" t="str">
        <f>IF(ISNUMBER(Table810[[#This Row],[Total Capacity]]),"USBR Enterprise Asset Registry",IF(Table810[[#This Row],[Total Capacity]]="",""))</f>
        <v>USBR Enterprise Asset Registry</v>
      </c>
      <c r="I224" s="28" t="s">
        <v>57</v>
      </c>
      <c r="J224" s="28"/>
      <c r="K224" s="33"/>
      <c r="L224" s="50">
        <v>23772</v>
      </c>
      <c r="M224" s="48"/>
      <c r="N224" s="50">
        <v>23772</v>
      </c>
      <c r="O224" s="28"/>
      <c r="P224" s="37"/>
      <c r="Q224" s="28">
        <f>IF(OR(Table810[[#This Row],[Post-Review Decision]]="Include", Table810[[#This Row],[Post-Review Decision]]="Include if possible", Table810[[#This Row],[Post-Review Decision]]="Include (Omit % Avg if needed)",  Table810[[#This Row],[Post-Review Decision]]="Include (Omit % Avg)"),Table810[[#This Row],[EAR Total Capacity]],"")</f>
        <v>23772</v>
      </c>
      <c r="R224" s="28">
        <v>7470</v>
      </c>
      <c r="S224" s="46">
        <v>23674</v>
      </c>
      <c r="T224" s="28" t="s">
        <v>1130</v>
      </c>
      <c r="U224" s="28" t="s">
        <v>1131</v>
      </c>
      <c r="V224" s="13" t="s">
        <v>358</v>
      </c>
      <c r="W224" s="12" t="b">
        <f>ISNUMBER(Table810[[#This Row],[EAR Total Capacity]])</f>
        <v>1</v>
      </c>
      <c r="X224" s="12" t="b">
        <f>IF(Table810[[#This Row],[Has  Storage for Full Averaging Period?]]="OK",TRUE,FALSE)</f>
        <v>1</v>
      </c>
      <c r="Y224" s="12" t="b">
        <f>IFERROR(IF(YEAR(Table810[[#This Row],[RISE Storage End Date]])=2025,TRUE,FALSE),FALSE)</f>
        <v>1</v>
      </c>
      <c r="Z224" s="11" t="b">
        <v>0</v>
      </c>
      <c r="AA224" s="13">
        <v>194</v>
      </c>
      <c r="AB224" s="13" t="s">
        <v>76</v>
      </c>
      <c r="AC224" s="13" t="s">
        <v>1132</v>
      </c>
      <c r="AD224" s="13" t="s">
        <v>1130</v>
      </c>
      <c r="AE224" s="13" t="s">
        <v>78</v>
      </c>
      <c r="AF224" s="13" t="s">
        <v>1133</v>
      </c>
      <c r="AG224" s="13" t="s">
        <v>159</v>
      </c>
      <c r="AH224" s="13" t="s">
        <v>160</v>
      </c>
      <c r="AI224" s="13" t="s">
        <v>93</v>
      </c>
      <c r="AJ224" s="14">
        <v>23772</v>
      </c>
      <c r="AK224" s="18"/>
      <c r="AL224" s="18"/>
      <c r="AM224" s="13" t="s">
        <v>1134</v>
      </c>
      <c r="AN224" s="13" t="s">
        <v>246</v>
      </c>
      <c r="AO224" s="13" t="s">
        <v>1130</v>
      </c>
      <c r="AP224" s="13" t="s">
        <v>1130</v>
      </c>
      <c r="AQ224" s="21" t="s">
        <v>64</v>
      </c>
      <c r="AR224" s="26">
        <v>27303</v>
      </c>
      <c r="AS224" s="26">
        <v>46007</v>
      </c>
      <c r="AT224" s="25">
        <v>18706</v>
      </c>
      <c r="AU224" s="25" t="s">
        <v>65</v>
      </c>
      <c r="AV224" s="25" t="s">
        <v>65</v>
      </c>
      <c r="AW224" s="25" t="s">
        <v>65</v>
      </c>
      <c r="AX224" s="24"/>
    </row>
    <row r="225" spans="1:50" ht="16.5" customHeight="1">
      <c r="A225" s="36" t="s">
        <v>1135</v>
      </c>
      <c r="B225" s="28" t="s">
        <v>68</v>
      </c>
      <c r="C225" s="28" t="s">
        <v>86</v>
      </c>
      <c r="D225" s="28"/>
      <c r="E225" s="28" t="s">
        <v>70</v>
      </c>
      <c r="F225" s="28">
        <v>388</v>
      </c>
      <c r="G225" s="28">
        <v>3</v>
      </c>
      <c r="H225" s="28" t="str">
        <f>IF(ISNUMBER(Table810[[#This Row],[Total Capacity]]),"USBR Enterprise Asset Registry",IF(Table810[[#This Row],[Total Capacity]]="",""))</f>
        <v>USBR Enterprise Asset Registry</v>
      </c>
      <c r="I225" s="28" t="s">
        <v>71</v>
      </c>
      <c r="J225" s="28" t="s">
        <v>127</v>
      </c>
      <c r="K225" s="33">
        <v>140463</v>
      </c>
      <c r="L225" s="50">
        <v>182079</v>
      </c>
      <c r="M225" s="48"/>
      <c r="N225" s="50">
        <v>182079</v>
      </c>
      <c r="O225" s="28"/>
      <c r="P225" s="37"/>
      <c r="Q225" s="28">
        <f>IF(OR(Table810[[#This Row],[Post-Review Decision]]="Include", Table810[[#This Row],[Post-Review Decision]]="Include if possible", Table810[[#This Row],[Post-Review Decision]]="Include (Omit % Avg if needed)",  Table810[[#This Row],[Post-Review Decision]]="Include (Omit % Avg)"),Table810[[#This Row],[EAR Total Capacity]],"")</f>
        <v>329134</v>
      </c>
      <c r="R225" s="28">
        <v>322542</v>
      </c>
      <c r="S225" s="46">
        <v>328847</v>
      </c>
      <c r="T225" s="28" t="s">
        <v>1135</v>
      </c>
      <c r="U225" s="28" t="s">
        <v>1136</v>
      </c>
      <c r="V225" s="13" t="s">
        <v>1137</v>
      </c>
      <c r="W225" s="12" t="b">
        <f>ISNUMBER(Table810[[#This Row],[EAR Total Capacity]])</f>
        <v>1</v>
      </c>
      <c r="X225" s="12" t="b">
        <f>IF(Table810[[#This Row],[Has  Storage for Full Averaging Period?]]="OK",TRUE,FALSE)</f>
        <v>1</v>
      </c>
      <c r="Y225" s="12" t="b">
        <f>IFERROR(IF(YEAR(Table810[[#This Row],[RISE Storage End Date]])=2025,TRUE,FALSE),FALSE)</f>
        <v>1</v>
      </c>
      <c r="Z225" s="11" t="b">
        <v>0</v>
      </c>
      <c r="AA225" s="13">
        <v>195</v>
      </c>
      <c r="AB225" s="13" t="s">
        <v>76</v>
      </c>
      <c r="AC225" s="13" t="s">
        <v>1138</v>
      </c>
      <c r="AD225" s="13" t="s">
        <v>1135</v>
      </c>
      <c r="AE225" s="13" t="s">
        <v>78</v>
      </c>
      <c r="AF225" s="13" t="s">
        <v>1139</v>
      </c>
      <c r="AG225" s="13" t="s">
        <v>91</v>
      </c>
      <c r="AH225" s="13" t="s">
        <v>92</v>
      </c>
      <c r="AI225" s="13" t="s">
        <v>93</v>
      </c>
      <c r="AJ225" s="14">
        <v>329134</v>
      </c>
      <c r="AK225" s="18"/>
      <c r="AL225" s="18"/>
      <c r="AM225" s="13" t="s">
        <v>1140</v>
      </c>
      <c r="AN225" s="13" t="s">
        <v>95</v>
      </c>
      <c r="AO225" s="13" t="s">
        <v>1135</v>
      </c>
      <c r="AP225" s="13" t="s">
        <v>1135</v>
      </c>
      <c r="AQ225" s="21" t="s">
        <v>64</v>
      </c>
      <c r="AR225" s="26">
        <v>18902</v>
      </c>
      <c r="AS225" s="26">
        <v>46007</v>
      </c>
      <c r="AT225" s="25">
        <v>27109</v>
      </c>
      <c r="AU225" s="25" t="s">
        <v>65</v>
      </c>
      <c r="AV225" s="25" t="s">
        <v>65</v>
      </c>
      <c r="AW225" s="25" t="s">
        <v>65</v>
      </c>
      <c r="AX225" s="24"/>
    </row>
    <row r="226" spans="1:50" ht="16.5" customHeight="1">
      <c r="A226" s="36" t="s">
        <v>1141</v>
      </c>
      <c r="B226" s="28" t="s">
        <v>68</v>
      </c>
      <c r="C226" s="29" t="s">
        <v>86</v>
      </c>
      <c r="D226" s="29"/>
      <c r="E226" s="28" t="s">
        <v>70</v>
      </c>
      <c r="F226" s="28">
        <v>391</v>
      </c>
      <c r="G226" s="28">
        <v>3</v>
      </c>
      <c r="H226" s="29" t="str">
        <f>IF(ISNUMBER(Table810[[#This Row],[Total Capacity]]),"USBR Enterprise Asset Registry",IF(Table810[[#This Row],[Total Capacity]]="",""))</f>
        <v>USBR Enterprise Asset Registry</v>
      </c>
      <c r="I226" s="28" t="s">
        <v>57</v>
      </c>
      <c r="J226" s="28" t="s">
        <v>127</v>
      </c>
      <c r="K226" s="33">
        <v>215136</v>
      </c>
      <c r="L226" s="50">
        <v>98154</v>
      </c>
      <c r="M226" s="48"/>
      <c r="N226" s="50">
        <v>98154</v>
      </c>
      <c r="O226" s="28"/>
      <c r="P226" s="38" t="s">
        <v>1142</v>
      </c>
      <c r="Q226" s="29">
        <f>IF(OR(Table810[[#This Row],[Post-Review Decision]]="Include", Table810[[#This Row],[Post-Review Decision]]="Include if possible", Table810[[#This Row],[Post-Review Decision]]="Include (Omit % Avg if needed)",  Table810[[#This Row],[Post-Review Decision]]="Include (Omit % Avg)"),Table810[[#This Row],[EAR Total Capacity]],"")</f>
        <v>313290</v>
      </c>
      <c r="R226" s="29">
        <v>304775</v>
      </c>
      <c r="S226" s="46">
        <v>308321</v>
      </c>
      <c r="T226" s="29" t="s">
        <v>1141</v>
      </c>
      <c r="U226" s="29" t="s">
        <v>1143</v>
      </c>
      <c r="V226" s="13" t="s">
        <v>1144</v>
      </c>
      <c r="W226" s="12" t="b">
        <f>ISNUMBER(Table810[[#This Row],[EAR Total Capacity]])</f>
        <v>1</v>
      </c>
      <c r="X226" s="12" t="b">
        <f>IF(Table810[[#This Row],[Has  Storage for Full Averaging Period?]]="OK",TRUE,FALSE)</f>
        <v>1</v>
      </c>
      <c r="Y226" s="12" t="b">
        <f>IFERROR(IF(YEAR(Table810[[#This Row],[RISE Storage End Date]])=2025,TRUE,FALSE),FALSE)</f>
        <v>1</v>
      </c>
      <c r="Z226" s="11" t="b">
        <v>0</v>
      </c>
      <c r="AA226" s="13">
        <v>196</v>
      </c>
      <c r="AB226" s="13" t="s">
        <v>76</v>
      </c>
      <c r="AC226" s="13" t="s">
        <v>1145</v>
      </c>
      <c r="AD226" s="13" t="s">
        <v>1141</v>
      </c>
      <c r="AE226" s="13" t="s">
        <v>78</v>
      </c>
      <c r="AF226" s="13" t="s">
        <v>1146</v>
      </c>
      <c r="AG226" s="13" t="s">
        <v>109</v>
      </c>
      <c r="AH226" s="13" t="s">
        <v>92</v>
      </c>
      <c r="AI226" s="13" t="s">
        <v>93</v>
      </c>
      <c r="AJ226" s="14">
        <v>313290</v>
      </c>
      <c r="AK226" s="18"/>
      <c r="AL226" s="18"/>
      <c r="AM226" s="13" t="s">
        <v>1147</v>
      </c>
      <c r="AN226" s="13" t="s">
        <v>95</v>
      </c>
      <c r="AO226" s="13" t="s">
        <v>1141</v>
      </c>
      <c r="AP226" s="13" t="s">
        <v>1141</v>
      </c>
      <c r="AQ226" s="21" t="s">
        <v>64</v>
      </c>
      <c r="AR226" s="26">
        <v>27760</v>
      </c>
      <c r="AS226" s="26">
        <v>46007</v>
      </c>
      <c r="AT226" s="25">
        <v>14744</v>
      </c>
      <c r="AU226" s="25" t="s">
        <v>65</v>
      </c>
      <c r="AV226" s="25" t="s">
        <v>65</v>
      </c>
      <c r="AW226" s="25" t="s">
        <v>65</v>
      </c>
      <c r="AX226" s="24"/>
    </row>
    <row r="227" spans="1:50" ht="16.5" customHeight="1">
      <c r="A227" s="36" t="s">
        <v>1148</v>
      </c>
      <c r="B227" s="28"/>
      <c r="C227" s="28" t="s">
        <v>97</v>
      </c>
      <c r="D227" s="28"/>
      <c r="E227" s="28"/>
      <c r="F227" s="28" t="s">
        <v>61</v>
      </c>
      <c r="G227" s="28"/>
      <c r="H227" s="28" t="str">
        <f>IF(ISNUMBER(Table810[[#This Row],[Total Capacity]]),"USBR Enterprise Asset Registry",IF(Table810[[#This Row],[Total Capacity]]="",""))</f>
        <v/>
      </c>
      <c r="I227" s="28"/>
      <c r="J227" s="28"/>
      <c r="K227" s="28"/>
      <c r="L227" s="50" t="s">
        <v>98</v>
      </c>
      <c r="M227" s="48"/>
      <c r="N227" s="50" t="s">
        <v>98</v>
      </c>
      <c r="O227" s="28"/>
      <c r="P227" s="37"/>
      <c r="Q227" s="28" t="str">
        <f>IF(OR(Table810[[#This Row],[Post-Review Decision]]="Include", Table810[[#This Row],[Post-Review Decision]]="Include if possible", Table810[[#This Row],[Post-Review Decision]]="Include (Omit % Avg if needed)",  Table810[[#This Row],[Post-Review Decision]]="Include (Omit % Avg)"),Table810[[#This Row],[EAR Total Capacity]],"")</f>
        <v/>
      </c>
      <c r="R227" s="28"/>
      <c r="S227" s="45">
        <v>0</v>
      </c>
      <c r="T227" s="28"/>
      <c r="U227" s="28"/>
      <c r="V227" s="13" t="s">
        <v>606</v>
      </c>
      <c r="W227" s="12" t="b">
        <f>ISNUMBER(Table810[[#This Row],[EAR Total Capacity]])</f>
        <v>1</v>
      </c>
      <c r="X227" s="12" t="b">
        <f>IF(Table810[[#This Row],[Has  Storage for Full Averaging Period?]]="OK",TRUE,FALSE)</f>
        <v>0</v>
      </c>
      <c r="Y227" s="12" t="b">
        <f>IFERROR(IF(YEAR(Table810[[#This Row],[RISE Storage End Date]])=2025,TRUE,FALSE),FALSE)</f>
        <v>0</v>
      </c>
      <c r="Z227" s="11" t="b">
        <v>0</v>
      </c>
      <c r="AA227" s="13">
        <v>197</v>
      </c>
      <c r="AB227" s="13" t="s">
        <v>76</v>
      </c>
      <c r="AC227" s="13" t="s">
        <v>1149</v>
      </c>
      <c r="AD227" s="13" t="s">
        <v>1148</v>
      </c>
      <c r="AE227" s="13" t="s">
        <v>101</v>
      </c>
      <c r="AF227" s="13" t="s">
        <v>1150</v>
      </c>
      <c r="AG227" s="13" t="s">
        <v>91</v>
      </c>
      <c r="AH227" s="13" t="s">
        <v>102</v>
      </c>
      <c r="AI227" s="13" t="s">
        <v>103</v>
      </c>
      <c r="AJ227" s="14">
        <v>29</v>
      </c>
      <c r="AK227" s="15"/>
      <c r="AL227" s="15"/>
      <c r="AM227" s="15" t="s">
        <v>61</v>
      </c>
      <c r="AN227" s="15" t="s">
        <v>61</v>
      </c>
      <c r="AO227" s="15" t="s">
        <v>61</v>
      </c>
      <c r="AP227" s="15" t="s">
        <v>61</v>
      </c>
      <c r="AQ227" s="22"/>
      <c r="AR227" s="25"/>
      <c r="AS227" s="25"/>
      <c r="AT227" s="25"/>
      <c r="AU227" s="25"/>
      <c r="AV227" s="25"/>
      <c r="AW227" s="25"/>
      <c r="AX227" s="24"/>
    </row>
    <row r="228" spans="1:50" ht="16.5" customHeight="1">
      <c r="A228" s="36" t="s">
        <v>1151</v>
      </c>
      <c r="B228" s="28" t="s">
        <v>68</v>
      </c>
      <c r="C228" s="28" t="s">
        <v>52</v>
      </c>
      <c r="D228" s="28" t="s">
        <v>125</v>
      </c>
      <c r="E228" s="28" t="s">
        <v>126</v>
      </c>
      <c r="F228" s="28" t="s">
        <v>61</v>
      </c>
      <c r="G228" s="28">
        <v>3</v>
      </c>
      <c r="H228" s="28" t="str">
        <f>IF(ISNUMBER(Table810[[#This Row],[Total Capacity]]),"USBR Enterprise Asset Registry",IF(Table810[[#This Row],[Total Capacity]]="",""))</f>
        <v>USBR Enterprise Asset Registry</v>
      </c>
      <c r="I228" s="28" t="s">
        <v>57</v>
      </c>
      <c r="J228" s="28" t="s">
        <v>72</v>
      </c>
      <c r="K228" s="28"/>
      <c r="L228" s="50">
        <v>4739</v>
      </c>
      <c r="M228" s="48"/>
      <c r="N228" s="50">
        <v>4739</v>
      </c>
      <c r="O228" s="28"/>
      <c r="P228" s="37" t="s">
        <v>1152</v>
      </c>
      <c r="Q228" s="28">
        <f>IF(OR(Table810[[#This Row],[Post-Review Decision]]="Include", Table810[[#This Row],[Post-Review Decision]]="Include if possible", Table810[[#This Row],[Post-Review Decision]]="Include (Omit % Avg if needed)",  Table810[[#This Row],[Post-Review Decision]]="Include (Omit % Avg)"),Table810[[#This Row],[EAR Total Capacity]],"")</f>
        <v>4739</v>
      </c>
      <c r="R228" s="28">
        <v>3073</v>
      </c>
      <c r="S228" s="46">
        <v>4588</v>
      </c>
      <c r="T228" s="28" t="s">
        <v>1151</v>
      </c>
      <c r="U228" s="28" t="s">
        <v>1153</v>
      </c>
      <c r="V228" s="13" t="s">
        <v>1154</v>
      </c>
      <c r="W228" s="12" t="b">
        <f>ISNUMBER(Table810[[#This Row],[EAR Total Capacity]])</f>
        <v>1</v>
      </c>
      <c r="X228" s="12" t="b">
        <f>IF(Table810[[#This Row],[Has  Storage for Full Averaging Period?]]="OK",TRUE,FALSE)</f>
        <v>0</v>
      </c>
      <c r="Y228" s="12" t="b">
        <f>IFERROR(IF(YEAR(Table810[[#This Row],[RISE Storage End Date]])=2025,TRUE,FALSE),FALSE)</f>
        <v>0</v>
      </c>
      <c r="Z228" s="11" t="b">
        <v>0</v>
      </c>
      <c r="AA228" s="13">
        <v>198</v>
      </c>
      <c r="AB228" s="13" t="s">
        <v>76</v>
      </c>
      <c r="AC228" s="13" t="s">
        <v>1155</v>
      </c>
      <c r="AD228" s="13" t="s">
        <v>1151</v>
      </c>
      <c r="AE228" s="13" t="s">
        <v>78</v>
      </c>
      <c r="AF228" s="13" t="s">
        <v>1156</v>
      </c>
      <c r="AG228" s="13" t="s">
        <v>91</v>
      </c>
      <c r="AH228" s="13" t="s">
        <v>92</v>
      </c>
      <c r="AI228" s="13" t="s">
        <v>93</v>
      </c>
      <c r="AJ228" s="14">
        <v>4739</v>
      </c>
      <c r="AK228" s="15">
        <v>-106.88079999999999</v>
      </c>
      <c r="AL228" s="15">
        <v>42.174199999999999</v>
      </c>
      <c r="AM228" s="15" t="s">
        <v>61</v>
      </c>
      <c r="AN228" s="15" t="s">
        <v>61</v>
      </c>
      <c r="AO228" s="15" t="s">
        <v>61</v>
      </c>
      <c r="AP228" s="15" t="s">
        <v>61</v>
      </c>
      <c r="AQ228" s="21" t="s">
        <v>136</v>
      </c>
      <c r="AR228" s="25"/>
      <c r="AS228" s="25"/>
      <c r="AT228" s="25"/>
      <c r="AU228" s="25"/>
      <c r="AV228" s="25"/>
      <c r="AW228" s="25"/>
      <c r="AX228" s="24"/>
    </row>
    <row r="229" spans="1:50" ht="16.5" customHeight="1">
      <c r="A229" s="36" t="s">
        <v>1157</v>
      </c>
      <c r="B229" s="28"/>
      <c r="C229" s="28" t="s">
        <v>97</v>
      </c>
      <c r="D229" s="28"/>
      <c r="E229" s="28"/>
      <c r="F229" s="28" t="s">
        <v>61</v>
      </c>
      <c r="G229" s="28"/>
      <c r="H229" s="28" t="str">
        <f>IF(ISNUMBER(Table810[[#This Row],[Total Capacity]]),"USBR Enterprise Asset Registry",IF(Table810[[#This Row],[Total Capacity]]="",""))</f>
        <v/>
      </c>
      <c r="I229" s="28"/>
      <c r="J229" s="28"/>
      <c r="K229" s="28"/>
      <c r="L229" s="50" t="s">
        <v>98</v>
      </c>
      <c r="M229" s="48"/>
      <c r="N229" s="50" t="s">
        <v>98</v>
      </c>
      <c r="O229" s="28"/>
      <c r="P229" s="37"/>
      <c r="Q229" s="28" t="str">
        <f>IF(OR(Table810[[#This Row],[Post-Review Decision]]="Include", Table810[[#This Row],[Post-Review Decision]]="Include if possible", Table810[[#This Row],[Post-Review Decision]]="Include (Omit % Avg if needed)",  Table810[[#This Row],[Post-Review Decision]]="Include (Omit % Avg)"),Table810[[#This Row],[EAR Total Capacity]],"")</f>
        <v/>
      </c>
      <c r="R229" s="28"/>
      <c r="S229" s="45">
        <v>0</v>
      </c>
      <c r="T229" s="28"/>
      <c r="U229" s="28"/>
      <c r="V229" s="13" t="s">
        <v>1158</v>
      </c>
      <c r="W229" s="12" t="b">
        <f>ISNUMBER(Table810[[#This Row],[EAR Total Capacity]])</f>
        <v>1</v>
      </c>
      <c r="X229" s="12" t="b">
        <f>IF(Table810[[#This Row],[Has  Storage for Full Averaging Period?]]="OK",TRUE,FALSE)</f>
        <v>0</v>
      </c>
      <c r="Y229" s="12" t="b">
        <f>IFERROR(IF(YEAR(Table810[[#This Row],[RISE Storage End Date]])=2025,TRUE,FALSE),FALSE)</f>
        <v>0</v>
      </c>
      <c r="Z229" s="11" t="b">
        <v>0</v>
      </c>
      <c r="AA229" s="13">
        <v>199</v>
      </c>
      <c r="AB229" s="13" t="s">
        <v>76</v>
      </c>
      <c r="AC229" s="13" t="s">
        <v>1159</v>
      </c>
      <c r="AD229" s="13" t="s">
        <v>1157</v>
      </c>
      <c r="AE229" s="13" t="s">
        <v>78</v>
      </c>
      <c r="AF229" s="13" t="s">
        <v>1160</v>
      </c>
      <c r="AG229" s="13" t="s">
        <v>179</v>
      </c>
      <c r="AH229" s="13" t="s">
        <v>180</v>
      </c>
      <c r="AI229" s="13" t="s">
        <v>103</v>
      </c>
      <c r="AJ229" s="14">
        <v>500</v>
      </c>
      <c r="AK229" s="15"/>
      <c r="AL229" s="15"/>
      <c r="AM229" s="15" t="s">
        <v>61</v>
      </c>
      <c r="AN229" s="15" t="s">
        <v>61</v>
      </c>
      <c r="AO229" s="15" t="s">
        <v>61</v>
      </c>
      <c r="AP229" s="15" t="s">
        <v>61</v>
      </c>
      <c r="AQ229" s="21" t="s">
        <v>136</v>
      </c>
      <c r="AR229" s="25"/>
      <c r="AS229" s="25"/>
      <c r="AT229" s="25"/>
      <c r="AU229" s="25"/>
      <c r="AV229" s="25"/>
      <c r="AW229" s="25"/>
      <c r="AX229" s="24"/>
    </row>
    <row r="230" spans="1:50" ht="16.5" customHeight="1">
      <c r="A230" s="36" t="s">
        <v>1161</v>
      </c>
      <c r="B230" s="28" t="s">
        <v>68</v>
      </c>
      <c r="C230" s="28" t="s">
        <v>52</v>
      </c>
      <c r="D230" s="28" t="s">
        <v>303</v>
      </c>
      <c r="E230" s="28" t="s">
        <v>1162</v>
      </c>
      <c r="F230" s="28">
        <v>3703</v>
      </c>
      <c r="G230" s="28" t="s">
        <v>55</v>
      </c>
      <c r="H230" s="28" t="str">
        <f>IF(ISNUMBER(Table810[[#This Row],[Total Capacity]]),"USBR Enterprise Asset Registry",IF(Table810[[#This Row],[Total Capacity]]="",""))</f>
        <v>USBR Enterprise Asset Registry</v>
      </c>
      <c r="I230" s="28" t="s">
        <v>57</v>
      </c>
      <c r="J230" s="28" t="s">
        <v>72</v>
      </c>
      <c r="K230" s="28"/>
      <c r="L230" s="50">
        <v>319800</v>
      </c>
      <c r="M230" s="48"/>
      <c r="N230" s="50">
        <v>319800</v>
      </c>
      <c r="O230" s="28"/>
      <c r="P230" s="37" t="s">
        <v>1163</v>
      </c>
      <c r="Q230" s="28">
        <f>IF(OR(Table810[[#This Row],[Post-Review Decision]]="Include", Table810[[#This Row],[Post-Review Decision]]="Include if possible", Table810[[#This Row],[Post-Review Decision]]="Include (Omit % Avg if needed)",  Table810[[#This Row],[Post-Review Decision]]="Include (Omit % Avg)"),Table810[[#This Row],[EAR Total Capacity]],"")</f>
        <v>319800</v>
      </c>
      <c r="R230" s="28">
        <v>319800</v>
      </c>
      <c r="S230" s="46">
        <v>319700</v>
      </c>
      <c r="T230" s="28" t="s">
        <v>1161</v>
      </c>
      <c r="U230" s="28" t="s">
        <v>1164</v>
      </c>
      <c r="V230" s="13" t="s">
        <v>438</v>
      </c>
      <c r="W230" s="12" t="b">
        <f>ISNUMBER(Table810[[#This Row],[EAR Total Capacity]])</f>
        <v>1</v>
      </c>
      <c r="X230" s="12" t="b">
        <f>IF(Table810[[#This Row],[Has  Storage for Full Averaging Period?]]="OK",TRUE,FALSE)</f>
        <v>0</v>
      </c>
      <c r="Y230" s="12" t="b">
        <f>IFERROR(IF(YEAR(Table810[[#This Row],[RISE Storage End Date]])=2025,TRUE,FALSE),FALSE)</f>
        <v>0</v>
      </c>
      <c r="Z230" s="11" t="b">
        <v>0</v>
      </c>
      <c r="AA230" s="13">
        <v>200</v>
      </c>
      <c r="AB230" s="13" t="s">
        <v>76</v>
      </c>
      <c r="AC230" s="13" t="s">
        <v>1165</v>
      </c>
      <c r="AD230" s="13" t="s">
        <v>1161</v>
      </c>
      <c r="AE230" s="13" t="s">
        <v>78</v>
      </c>
      <c r="AF230" s="13" t="s">
        <v>1166</v>
      </c>
      <c r="AG230" s="13" t="s">
        <v>159</v>
      </c>
      <c r="AH230" s="13" t="s">
        <v>160</v>
      </c>
      <c r="AI230" s="13" t="s">
        <v>93</v>
      </c>
      <c r="AJ230" s="13">
        <v>319800</v>
      </c>
      <c r="AK230" s="18"/>
      <c r="AL230" s="18"/>
      <c r="AM230" s="13" t="s">
        <v>1165</v>
      </c>
      <c r="AN230" s="13" t="s">
        <v>246</v>
      </c>
      <c r="AO230" s="11" t="s">
        <v>1161</v>
      </c>
      <c r="AP230" s="11" t="s">
        <v>1161</v>
      </c>
      <c r="AQ230" s="21" t="s">
        <v>136</v>
      </c>
      <c r="AR230" s="25"/>
      <c r="AS230" s="25"/>
      <c r="AT230" s="25"/>
      <c r="AU230" s="25"/>
      <c r="AV230" s="25"/>
      <c r="AW230" s="25"/>
      <c r="AX230" s="24"/>
    </row>
    <row r="231" spans="1:50" ht="16.5" customHeight="1">
      <c r="A231" s="36" t="s">
        <v>1167</v>
      </c>
      <c r="B231" s="28"/>
      <c r="C231" s="28" t="s">
        <v>97</v>
      </c>
      <c r="D231" s="28"/>
      <c r="E231" s="28"/>
      <c r="F231" s="28">
        <v>5</v>
      </c>
      <c r="G231" s="28"/>
      <c r="H231" s="28" t="str">
        <f>IF(ISNUMBER(Table810[[#This Row],[Total Capacity]]),"USBR Enterprise Asset Registry",IF(Table810[[#This Row],[Total Capacity]]="",""))</f>
        <v/>
      </c>
      <c r="I231" s="28"/>
      <c r="J231" s="28"/>
      <c r="K231" s="28"/>
      <c r="L231" s="50" t="s">
        <v>98</v>
      </c>
      <c r="M231" s="48"/>
      <c r="N231" s="50" t="s">
        <v>98</v>
      </c>
      <c r="O231" s="28"/>
      <c r="P231" s="37"/>
      <c r="Q231" s="28" t="str">
        <f>IF(OR(Table810[[#This Row],[Post-Review Decision]]="Include", Table810[[#This Row],[Post-Review Decision]]="Include if possible", Table810[[#This Row],[Post-Review Decision]]="Include (Omit % Avg if needed)",  Table810[[#This Row],[Post-Review Decision]]="Include (Omit % Avg)"),Table810[[#This Row],[EAR Total Capacity]],"")</f>
        <v/>
      </c>
      <c r="R231" s="28"/>
      <c r="S231" s="45" t="s">
        <v>59</v>
      </c>
      <c r="T231" s="28"/>
      <c r="U231" s="28"/>
      <c r="V231" s="17" t="s">
        <v>61</v>
      </c>
      <c r="W231" s="12" t="b">
        <f>ISNUMBER(Table810[[#This Row],[EAR Total Capacity]])</f>
        <v>0</v>
      </c>
      <c r="X231" s="12" t="b">
        <f>IF(Table810[[#This Row],[Has  Storage for Full Averaging Period?]]="OK",TRUE,FALSE)</f>
        <v>0</v>
      </c>
      <c r="Y231" s="12" t="b">
        <f>IFERROR(IF(YEAR(Table810[[#This Row],[RISE Storage End Date]])=2025,TRUE,FALSE),FALSE)</f>
        <v>0</v>
      </c>
      <c r="Z231" s="11" t="b">
        <v>0</v>
      </c>
      <c r="AA231" s="16" t="s">
        <v>61</v>
      </c>
      <c r="AB231" s="17" t="s">
        <v>61</v>
      </c>
      <c r="AC231" s="17" t="s">
        <v>61</v>
      </c>
      <c r="AD231" s="17" t="s">
        <v>61</v>
      </c>
      <c r="AE231" s="17" t="s">
        <v>61</v>
      </c>
      <c r="AF231" s="17" t="s">
        <v>61</v>
      </c>
      <c r="AG231" s="17" t="s">
        <v>61</v>
      </c>
      <c r="AH231" s="17" t="s">
        <v>61</v>
      </c>
      <c r="AI231" s="17" t="s">
        <v>61</v>
      </c>
      <c r="AJ231" s="17" t="s">
        <v>61</v>
      </c>
      <c r="AK231" s="18"/>
      <c r="AL231" s="18"/>
      <c r="AM231" s="13" t="s">
        <v>1168</v>
      </c>
      <c r="AN231" s="11" t="s">
        <v>95</v>
      </c>
      <c r="AO231" s="11" t="s">
        <v>1167</v>
      </c>
      <c r="AP231" s="11" t="e">
        <v>#N/A</v>
      </c>
      <c r="AQ231" s="21" t="s">
        <v>64</v>
      </c>
      <c r="AR231" s="26">
        <v>39947</v>
      </c>
      <c r="AS231" s="26">
        <v>44616</v>
      </c>
      <c r="AT231" s="25">
        <v>3828</v>
      </c>
      <c r="AU231" s="25" t="s">
        <v>66</v>
      </c>
      <c r="AV231" s="25" t="s">
        <v>65</v>
      </c>
      <c r="AW231" s="25" t="s">
        <v>66</v>
      </c>
      <c r="AX231" s="23"/>
    </row>
    <row r="232" spans="1:50" ht="16.5" customHeight="1">
      <c r="A232" s="36" t="s">
        <v>1169</v>
      </c>
      <c r="B232" s="28"/>
      <c r="C232" s="28" t="s">
        <v>97</v>
      </c>
      <c r="D232" s="28"/>
      <c r="E232" s="28"/>
      <c r="F232" s="28" t="s">
        <v>61</v>
      </c>
      <c r="G232" s="28"/>
      <c r="H232" s="28" t="str">
        <f>IF(ISNUMBER(Table810[[#This Row],[Total Capacity]]),"USBR Enterprise Asset Registry",IF(Table810[[#This Row],[Total Capacity]]="",""))</f>
        <v/>
      </c>
      <c r="I232" s="28"/>
      <c r="J232" s="28"/>
      <c r="K232" s="28"/>
      <c r="L232" s="50" t="s">
        <v>98</v>
      </c>
      <c r="M232" s="48"/>
      <c r="N232" s="50" t="s">
        <v>98</v>
      </c>
      <c r="O232" s="28"/>
      <c r="P232" s="37"/>
      <c r="Q232" s="28" t="str">
        <f>IF(OR(Table810[[#This Row],[Post-Review Decision]]="Include", Table810[[#This Row],[Post-Review Decision]]="Include if possible", Table810[[#This Row],[Post-Review Decision]]="Include (Omit % Avg if needed)",  Table810[[#This Row],[Post-Review Decision]]="Include (Omit % Avg)"),Table810[[#This Row],[EAR Total Capacity]],"")</f>
        <v/>
      </c>
      <c r="R232" s="28"/>
      <c r="S232" s="45">
        <v>0</v>
      </c>
      <c r="T232" s="28"/>
      <c r="U232" s="28"/>
      <c r="V232" s="13" t="s">
        <v>1170</v>
      </c>
      <c r="W232" s="12" t="b">
        <f>ISNUMBER(Table810[[#This Row],[EAR Total Capacity]])</f>
        <v>0</v>
      </c>
      <c r="X232" s="12" t="b">
        <f>IF(Table810[[#This Row],[Has  Storage for Full Averaging Period?]]="OK",TRUE,FALSE)</f>
        <v>0</v>
      </c>
      <c r="Y232" s="12" t="b">
        <f>IFERROR(IF(YEAR(Table810[[#This Row],[RISE Storage End Date]])=2025,TRUE,FALSE),FALSE)</f>
        <v>0</v>
      </c>
      <c r="Z232" s="11" t="b">
        <v>0</v>
      </c>
      <c r="AA232" s="13">
        <v>235</v>
      </c>
      <c r="AB232" s="13" t="s">
        <v>76</v>
      </c>
      <c r="AC232" s="13" t="s">
        <v>1171</v>
      </c>
      <c r="AD232" s="13" t="s">
        <v>1169</v>
      </c>
      <c r="AE232" s="13" t="s">
        <v>101</v>
      </c>
      <c r="AF232" s="13" t="s">
        <v>1172</v>
      </c>
      <c r="AG232" s="13" t="s">
        <v>80</v>
      </c>
      <c r="AH232" s="13" t="s">
        <v>81</v>
      </c>
      <c r="AI232" s="13" t="s">
        <v>103</v>
      </c>
      <c r="AJ232" s="14"/>
      <c r="AK232" s="15"/>
      <c r="AL232" s="15"/>
      <c r="AM232" s="15" t="s">
        <v>61</v>
      </c>
      <c r="AN232" s="15" t="s">
        <v>61</v>
      </c>
      <c r="AO232" s="15" t="s">
        <v>61</v>
      </c>
      <c r="AP232" s="15" t="s">
        <v>61</v>
      </c>
      <c r="AQ232" s="22"/>
      <c r="AR232" s="25"/>
      <c r="AS232" s="25"/>
      <c r="AT232" s="25"/>
      <c r="AU232" s="25"/>
      <c r="AV232" s="25"/>
      <c r="AW232" s="25"/>
      <c r="AX232" s="24"/>
    </row>
    <row r="233" spans="1:50" ht="16.5" customHeight="1">
      <c r="A233" s="36" t="s">
        <v>1173</v>
      </c>
      <c r="B233" s="28"/>
      <c r="C233" s="28" t="s">
        <v>97</v>
      </c>
      <c r="D233" s="28"/>
      <c r="E233" s="28"/>
      <c r="F233" s="28" t="s">
        <v>61</v>
      </c>
      <c r="G233" s="28"/>
      <c r="H233" s="28" t="str">
        <f>IF(ISNUMBER(Table810[[#This Row],[Total Capacity]]),"USBR Enterprise Asset Registry",IF(Table810[[#This Row],[Total Capacity]]="",""))</f>
        <v/>
      </c>
      <c r="I233" s="28"/>
      <c r="J233" s="28"/>
      <c r="K233" s="28"/>
      <c r="L233" s="50" t="s">
        <v>98</v>
      </c>
      <c r="M233" s="48"/>
      <c r="N233" s="50" t="s">
        <v>98</v>
      </c>
      <c r="O233" s="28"/>
      <c r="P233" s="37"/>
      <c r="Q233" s="28" t="str">
        <f>IF(OR(Table810[[#This Row],[Post-Review Decision]]="Include", Table810[[#This Row],[Post-Review Decision]]="Include if possible", Table810[[#This Row],[Post-Review Decision]]="Include (Omit % Avg if needed)",  Table810[[#This Row],[Post-Review Decision]]="Include (Omit % Avg)"),Table810[[#This Row],[EAR Total Capacity]],"")</f>
        <v/>
      </c>
      <c r="R233" s="28">
        <v>620</v>
      </c>
      <c r="S233" s="45">
        <v>0</v>
      </c>
      <c r="T233" s="28"/>
      <c r="U233" s="28"/>
      <c r="V233" s="13" t="s">
        <v>400</v>
      </c>
      <c r="W233" s="12" t="b">
        <f>ISNUMBER(Table810[[#This Row],[EAR Total Capacity]])</f>
        <v>1</v>
      </c>
      <c r="X233" s="12" t="b">
        <f>IF(Table810[[#This Row],[Has  Storage for Full Averaging Period?]]="OK",TRUE,FALSE)</f>
        <v>0</v>
      </c>
      <c r="Y233" s="12" t="b">
        <f>IFERROR(IF(YEAR(Table810[[#This Row],[RISE Storage End Date]])=2025,TRUE,FALSE),FALSE)</f>
        <v>0</v>
      </c>
      <c r="Z233" s="11" t="b">
        <v>0</v>
      </c>
      <c r="AA233" s="13">
        <v>239</v>
      </c>
      <c r="AB233" s="13" t="s">
        <v>76</v>
      </c>
      <c r="AC233" s="13" t="s">
        <v>1174</v>
      </c>
      <c r="AD233" s="13" t="s">
        <v>1173</v>
      </c>
      <c r="AE233" s="13" t="s">
        <v>78</v>
      </c>
      <c r="AF233" s="13" t="s">
        <v>1175</v>
      </c>
      <c r="AG233" s="13" t="s">
        <v>179</v>
      </c>
      <c r="AH233" s="13" t="s">
        <v>160</v>
      </c>
      <c r="AI233" s="13" t="s">
        <v>93</v>
      </c>
      <c r="AJ233" s="14">
        <v>640</v>
      </c>
      <c r="AK233" s="15"/>
      <c r="AL233" s="15"/>
      <c r="AM233" s="15" t="s">
        <v>61</v>
      </c>
      <c r="AN233" s="15" t="s">
        <v>61</v>
      </c>
      <c r="AO233" s="15" t="s">
        <v>61</v>
      </c>
      <c r="AP233" s="15" t="s">
        <v>61</v>
      </c>
      <c r="AQ233" s="21" t="s">
        <v>136</v>
      </c>
      <c r="AR233" s="25"/>
      <c r="AS233" s="25"/>
      <c r="AT233" s="25"/>
      <c r="AU233" s="25"/>
      <c r="AV233" s="25"/>
      <c r="AW233" s="25"/>
      <c r="AX233" s="24"/>
    </row>
    <row r="234" spans="1:50" ht="16.5" customHeight="1">
      <c r="A234" s="36" t="s">
        <v>1176</v>
      </c>
      <c r="B234" s="28"/>
      <c r="C234" s="28" t="s">
        <v>97</v>
      </c>
      <c r="D234" s="28"/>
      <c r="E234" s="28"/>
      <c r="F234" s="28" t="s">
        <v>61</v>
      </c>
      <c r="G234" s="28"/>
      <c r="H234" s="28" t="str">
        <f>IF(ISNUMBER(Table810[[#This Row],[Total Capacity]]),"USBR Enterprise Asset Registry",IF(Table810[[#This Row],[Total Capacity]]="",""))</f>
        <v/>
      </c>
      <c r="I234" s="28"/>
      <c r="J234" s="28"/>
      <c r="K234" s="28"/>
      <c r="L234" s="50" t="s">
        <v>98</v>
      </c>
      <c r="M234" s="48"/>
      <c r="N234" s="50" t="s">
        <v>98</v>
      </c>
      <c r="O234" s="28"/>
      <c r="P234" s="37"/>
      <c r="Q234" s="28" t="str">
        <f>IF(OR(Table810[[#This Row],[Post-Review Decision]]="Include", Table810[[#This Row],[Post-Review Decision]]="Include if possible", Table810[[#This Row],[Post-Review Decision]]="Include (Omit % Avg if needed)",  Table810[[#This Row],[Post-Review Decision]]="Include (Omit % Avg)"),Table810[[#This Row],[EAR Total Capacity]],"")</f>
        <v/>
      </c>
      <c r="R234" s="28"/>
      <c r="S234" s="45">
        <v>0</v>
      </c>
      <c r="T234" s="28"/>
      <c r="U234" s="28"/>
      <c r="V234" s="13" t="s">
        <v>393</v>
      </c>
      <c r="W234" s="12" t="b">
        <f>ISNUMBER(Table810[[#This Row],[EAR Total Capacity]])</f>
        <v>1</v>
      </c>
      <c r="X234" s="12" t="b">
        <f>IF(Table810[[#This Row],[Has  Storage for Full Averaging Period?]]="OK",TRUE,FALSE)</f>
        <v>0</v>
      </c>
      <c r="Y234" s="12" t="b">
        <f>IFERROR(IF(YEAR(Table810[[#This Row],[RISE Storage End Date]])=2025,TRUE,FALSE),FALSE)</f>
        <v>0</v>
      </c>
      <c r="Z234" s="11" t="b">
        <v>0</v>
      </c>
      <c r="AA234" s="13">
        <v>240</v>
      </c>
      <c r="AB234" s="13" t="s">
        <v>76</v>
      </c>
      <c r="AC234" s="13" t="s">
        <v>1177</v>
      </c>
      <c r="AD234" s="13" t="s">
        <v>1176</v>
      </c>
      <c r="AE234" s="13" t="s">
        <v>78</v>
      </c>
      <c r="AF234" s="13" t="s">
        <v>1178</v>
      </c>
      <c r="AG234" s="13" t="s">
        <v>91</v>
      </c>
      <c r="AH234" s="13" t="s">
        <v>102</v>
      </c>
      <c r="AI234" s="13" t="s">
        <v>103</v>
      </c>
      <c r="AJ234" s="13">
        <v>150</v>
      </c>
      <c r="AK234" s="15"/>
      <c r="AL234" s="15"/>
      <c r="AM234" s="15" t="s">
        <v>61</v>
      </c>
      <c r="AN234" s="15" t="s">
        <v>61</v>
      </c>
      <c r="AO234" s="15" t="s">
        <v>61</v>
      </c>
      <c r="AP234" s="15" t="s">
        <v>61</v>
      </c>
      <c r="AQ234" s="21" t="s">
        <v>136</v>
      </c>
      <c r="AR234" s="25"/>
      <c r="AS234" s="25"/>
      <c r="AT234" s="25"/>
      <c r="AU234" s="25"/>
      <c r="AV234" s="25"/>
      <c r="AW234" s="25"/>
      <c r="AX234" s="24"/>
    </row>
    <row r="235" spans="1:50" ht="16.5" customHeight="1">
      <c r="A235" s="36" t="s">
        <v>1179</v>
      </c>
      <c r="B235" s="28" t="s">
        <v>68</v>
      </c>
      <c r="C235" s="57" t="s">
        <v>86</v>
      </c>
      <c r="D235" s="57"/>
      <c r="E235" s="28" t="s">
        <v>70</v>
      </c>
      <c r="F235" s="28">
        <v>395</v>
      </c>
      <c r="G235" s="28">
        <v>3</v>
      </c>
      <c r="H235" s="57" t="str">
        <f>IF(ISNUMBER(Table810[[#This Row],[Total Capacity]]),"USBR Enterprise Asset Registry",IF(Table810[[#This Row],[Total Capacity]]="",""))</f>
        <v>USBR Enterprise Asset Registry</v>
      </c>
      <c r="I235" s="28" t="s">
        <v>57</v>
      </c>
      <c r="J235" s="57" t="s">
        <v>72</v>
      </c>
      <c r="K235" s="57"/>
      <c r="L235" s="58">
        <v>40146</v>
      </c>
      <c r="M235" s="48"/>
      <c r="N235" s="50">
        <v>40146</v>
      </c>
      <c r="O235" s="57"/>
      <c r="P235" s="60"/>
      <c r="Q235" s="57">
        <f>IF(OR(Table810[[#This Row],[Post-Review Decision]]="Include", Table810[[#This Row],[Post-Review Decision]]="Include if possible", Table810[[#This Row],[Post-Review Decision]]="Include (Omit % Avg if needed)",  Table810[[#This Row],[Post-Review Decision]]="Include (Omit % Avg)"),Table810[[#This Row],[EAR Total Capacity]],"")</f>
        <v>40146</v>
      </c>
      <c r="R235" s="57">
        <v>39030</v>
      </c>
      <c r="S235" s="46">
        <v>39792</v>
      </c>
      <c r="T235" s="57" t="s">
        <v>1179</v>
      </c>
      <c r="U235" s="57" t="s">
        <v>1180</v>
      </c>
      <c r="V235" s="13" t="s">
        <v>775</v>
      </c>
      <c r="W235" s="12" t="b">
        <f>ISNUMBER(Table810[[#This Row],[EAR Total Capacity]])</f>
        <v>1</v>
      </c>
      <c r="X235" s="12" t="b">
        <f>IF(Table810[[#This Row],[Has  Storage for Full Averaging Period?]]="OK",TRUE,FALSE)</f>
        <v>1</v>
      </c>
      <c r="Y235" s="12" t="b">
        <f>IFERROR(IF(YEAR(Table810[[#This Row],[RISE Storage End Date]])=2025,TRUE,FALSE),FALSE)</f>
        <v>1</v>
      </c>
      <c r="Z235" s="11" t="b">
        <v>0</v>
      </c>
      <c r="AA235" s="13">
        <v>241</v>
      </c>
      <c r="AB235" s="13" t="s">
        <v>76</v>
      </c>
      <c r="AC235" s="13" t="s">
        <v>1181</v>
      </c>
      <c r="AD235" s="13" t="s">
        <v>1179</v>
      </c>
      <c r="AE235" s="13" t="s">
        <v>78</v>
      </c>
      <c r="AF235" s="13" t="s">
        <v>1182</v>
      </c>
      <c r="AG235" s="13" t="s">
        <v>91</v>
      </c>
      <c r="AH235" s="13" t="s">
        <v>102</v>
      </c>
      <c r="AI235" s="13" t="s">
        <v>93</v>
      </c>
      <c r="AJ235" s="14">
        <v>40146</v>
      </c>
      <c r="AK235" s="18"/>
      <c r="AL235" s="18"/>
      <c r="AM235" s="13" t="s">
        <v>1183</v>
      </c>
      <c r="AN235" s="13" t="s">
        <v>63</v>
      </c>
      <c r="AO235" s="13" t="s">
        <v>1179</v>
      </c>
      <c r="AP235" s="13" t="s">
        <v>1179</v>
      </c>
      <c r="AQ235" s="21" t="s">
        <v>64</v>
      </c>
      <c r="AR235" s="26">
        <v>23358</v>
      </c>
      <c r="AS235" s="26">
        <v>46007</v>
      </c>
      <c r="AT235" s="25">
        <v>22651</v>
      </c>
      <c r="AU235" s="25" t="s">
        <v>65</v>
      </c>
      <c r="AV235" s="25" t="s">
        <v>65</v>
      </c>
      <c r="AW235" s="25" t="s">
        <v>65</v>
      </c>
      <c r="AX235" s="24"/>
    </row>
    <row r="236" spans="1:50" ht="16.5" customHeight="1">
      <c r="A236" s="36" t="s">
        <v>1184</v>
      </c>
      <c r="B236" s="28"/>
      <c r="C236" s="28" t="s">
        <v>97</v>
      </c>
      <c r="D236" s="28"/>
      <c r="E236" s="28"/>
      <c r="F236" s="28" t="s">
        <v>61</v>
      </c>
      <c r="G236" s="28"/>
      <c r="H236" s="28" t="str">
        <f>IF(ISNUMBER(Table810[[#This Row],[Total Capacity]]),"USBR Enterprise Asset Registry",IF(Table810[[#This Row],[Total Capacity]]="",""))</f>
        <v/>
      </c>
      <c r="I236" s="28"/>
      <c r="J236" s="28"/>
      <c r="K236" s="28"/>
      <c r="L236" s="50" t="s">
        <v>98</v>
      </c>
      <c r="M236" s="48"/>
      <c r="N236" s="50" t="s">
        <v>98</v>
      </c>
      <c r="O236" s="28"/>
      <c r="P236" s="37"/>
      <c r="Q236" s="28" t="str">
        <f>IF(OR(Table810[[#This Row],[Post-Review Decision]]="Include", Table810[[#This Row],[Post-Review Decision]]="Include if possible", Table810[[#This Row],[Post-Review Decision]]="Include (Omit % Avg if needed)",  Table810[[#This Row],[Post-Review Decision]]="Include (Omit % Avg)"),Table810[[#This Row],[EAR Total Capacity]],"")</f>
        <v/>
      </c>
      <c r="R236" s="28"/>
      <c r="S236" s="45">
        <v>0</v>
      </c>
      <c r="T236" s="28"/>
      <c r="U236" s="28"/>
      <c r="V236" s="13" t="s">
        <v>193</v>
      </c>
      <c r="W236" s="12" t="b">
        <f>ISNUMBER(Table810[[#This Row],[EAR Total Capacity]])</f>
        <v>0</v>
      </c>
      <c r="X236" s="12" t="b">
        <f>IF(Table810[[#This Row],[Has  Storage for Full Averaging Period?]]="OK",TRUE,FALSE)</f>
        <v>0</v>
      </c>
      <c r="Y236" s="12" t="b">
        <f>IFERROR(IF(YEAR(Table810[[#This Row],[RISE Storage End Date]])=2025,TRUE,FALSE),FALSE)</f>
        <v>0</v>
      </c>
      <c r="Z236" s="11" t="b">
        <v>0</v>
      </c>
      <c r="AA236" s="13">
        <v>242</v>
      </c>
      <c r="AB236" s="13" t="s">
        <v>76</v>
      </c>
      <c r="AC236" s="13" t="s">
        <v>1185</v>
      </c>
      <c r="AD236" s="13" t="s">
        <v>1184</v>
      </c>
      <c r="AE236" s="13" t="s">
        <v>101</v>
      </c>
      <c r="AF236" s="13" t="s">
        <v>1186</v>
      </c>
      <c r="AG236" s="13" t="s">
        <v>91</v>
      </c>
      <c r="AH236" s="13" t="s">
        <v>102</v>
      </c>
      <c r="AI236" s="13" t="s">
        <v>103</v>
      </c>
      <c r="AJ236" s="14"/>
      <c r="AK236" s="15"/>
      <c r="AL236" s="15"/>
      <c r="AM236" s="15" t="s">
        <v>61</v>
      </c>
      <c r="AN236" s="15" t="s">
        <v>61</v>
      </c>
      <c r="AO236" s="15" t="s">
        <v>61</v>
      </c>
      <c r="AP236" s="15" t="s">
        <v>61</v>
      </c>
      <c r="AQ236" s="22"/>
      <c r="AR236" s="25"/>
      <c r="AS236" s="25"/>
      <c r="AT236" s="25"/>
      <c r="AU236" s="25"/>
      <c r="AV236" s="25"/>
      <c r="AW236" s="25"/>
      <c r="AX236" s="24"/>
    </row>
    <row r="237" spans="1:50" ht="16.5" customHeight="1">
      <c r="A237" s="36" t="s">
        <v>1187</v>
      </c>
      <c r="B237" s="28" t="s">
        <v>68</v>
      </c>
      <c r="C237" s="28" t="s">
        <v>86</v>
      </c>
      <c r="D237" s="28"/>
      <c r="E237" s="28" t="s">
        <v>70</v>
      </c>
      <c r="F237" s="28">
        <v>397</v>
      </c>
      <c r="G237" s="28">
        <v>3</v>
      </c>
      <c r="H237" s="28" t="str">
        <f>IF(ISNUMBER(Table810[[#This Row],[Total Capacity]]),"USBR Enterprise Asset Registry",IF(Table810[[#This Row],[Total Capacity]]="",""))</f>
        <v>USBR Enterprise Asset Registry</v>
      </c>
      <c r="I237" s="28" t="s">
        <v>57</v>
      </c>
      <c r="J237" s="28"/>
      <c r="K237" s="33"/>
      <c r="L237" s="50">
        <v>14660</v>
      </c>
      <c r="M237" s="48"/>
      <c r="N237" s="50">
        <v>14660</v>
      </c>
      <c r="O237" s="28"/>
      <c r="P237" s="37"/>
      <c r="Q237" s="28">
        <f>IF(OR(Table810[[#This Row],[Post-Review Decision]]="Include", Table810[[#This Row],[Post-Review Decision]]="Include if possible", Table810[[#This Row],[Post-Review Decision]]="Include (Omit % Avg if needed)",  Table810[[#This Row],[Post-Review Decision]]="Include (Omit % Avg)"),Table810[[#This Row],[EAR Total Capacity]],"")</f>
        <v>14660</v>
      </c>
      <c r="R237" s="28">
        <v>2890</v>
      </c>
      <c r="S237" s="46">
        <v>14620</v>
      </c>
      <c r="T237" s="28" t="s">
        <v>1187</v>
      </c>
      <c r="U237" s="28" t="s">
        <v>1188</v>
      </c>
      <c r="V237" s="13" t="s">
        <v>358</v>
      </c>
      <c r="W237" s="12" t="b">
        <f>ISNUMBER(Table810[[#This Row],[EAR Total Capacity]])</f>
        <v>1</v>
      </c>
      <c r="X237" s="12" t="b">
        <f>IF(Table810[[#This Row],[Has  Storage for Full Averaging Period?]]="OK",TRUE,FALSE)</f>
        <v>1</v>
      </c>
      <c r="Y237" s="12" t="b">
        <f>IFERROR(IF(YEAR(Table810[[#This Row],[RISE Storage End Date]])=2025,TRUE,FALSE),FALSE)</f>
        <v>1</v>
      </c>
      <c r="Z237" s="11" t="b">
        <v>0</v>
      </c>
      <c r="AA237" s="13">
        <v>243</v>
      </c>
      <c r="AB237" s="13" t="s">
        <v>76</v>
      </c>
      <c r="AC237" s="13" t="s">
        <v>1189</v>
      </c>
      <c r="AD237" s="13" t="s">
        <v>1187</v>
      </c>
      <c r="AE237" s="13" t="s">
        <v>78</v>
      </c>
      <c r="AF237" s="13" t="s">
        <v>1190</v>
      </c>
      <c r="AG237" s="13" t="s">
        <v>159</v>
      </c>
      <c r="AH237" s="13" t="s">
        <v>160</v>
      </c>
      <c r="AI237" s="13" t="s">
        <v>103</v>
      </c>
      <c r="AJ237" s="14">
        <v>14660</v>
      </c>
      <c r="AK237" s="18"/>
      <c r="AL237" s="18"/>
      <c r="AM237" s="13" t="s">
        <v>1191</v>
      </c>
      <c r="AN237" s="13" t="s">
        <v>246</v>
      </c>
      <c r="AO237" s="13" t="s">
        <v>1187</v>
      </c>
      <c r="AP237" s="13" t="s">
        <v>1187</v>
      </c>
      <c r="AQ237" s="21" t="s">
        <v>64</v>
      </c>
      <c r="AR237" s="26">
        <v>23468</v>
      </c>
      <c r="AS237" s="26">
        <v>46007</v>
      </c>
      <c r="AT237" s="25">
        <v>22541</v>
      </c>
      <c r="AU237" s="25" t="s">
        <v>65</v>
      </c>
      <c r="AV237" s="25" t="s">
        <v>65</v>
      </c>
      <c r="AW237" s="25" t="s">
        <v>65</v>
      </c>
      <c r="AX237" s="24"/>
    </row>
    <row r="238" spans="1:50" ht="16.5" customHeight="1">
      <c r="A238" s="36" t="s">
        <v>1192</v>
      </c>
      <c r="B238" s="28"/>
      <c r="C238" s="28" t="s">
        <v>97</v>
      </c>
      <c r="D238" s="28"/>
      <c r="E238" s="28"/>
      <c r="F238" s="28" t="s">
        <v>61</v>
      </c>
      <c r="G238" s="28"/>
      <c r="H238" s="28" t="str">
        <f>IF(ISNUMBER(Table810[[#This Row],[Total Capacity]]),"USBR Enterprise Asset Registry",IF(Table810[[#This Row],[Total Capacity]]="",""))</f>
        <v/>
      </c>
      <c r="I238" s="28"/>
      <c r="J238" s="28"/>
      <c r="K238" s="28"/>
      <c r="L238" s="50" t="s">
        <v>98</v>
      </c>
      <c r="M238" s="48"/>
      <c r="N238" s="50" t="s">
        <v>98</v>
      </c>
      <c r="O238" s="28"/>
      <c r="P238" s="37"/>
      <c r="Q238" s="28" t="str">
        <f>IF(OR(Table810[[#This Row],[Post-Review Decision]]="Include", Table810[[#This Row],[Post-Review Decision]]="Include if possible", Table810[[#This Row],[Post-Review Decision]]="Include (Omit % Avg if needed)",  Table810[[#This Row],[Post-Review Decision]]="Include (Omit % Avg)"),Table810[[#This Row],[EAR Total Capacity]],"")</f>
        <v/>
      </c>
      <c r="R238" s="28"/>
      <c r="S238" s="45">
        <v>0</v>
      </c>
      <c r="T238" s="28"/>
      <c r="U238" s="28"/>
      <c r="V238" s="13" t="s">
        <v>442</v>
      </c>
      <c r="W238" s="12" t="b">
        <f>ISNUMBER(Table810[[#This Row],[EAR Total Capacity]])</f>
        <v>0</v>
      </c>
      <c r="X238" s="12" t="b">
        <f>IF(Table810[[#This Row],[Has  Storage for Full Averaging Period?]]="OK",TRUE,FALSE)</f>
        <v>0</v>
      </c>
      <c r="Y238" s="12" t="b">
        <f>IFERROR(IF(YEAR(Table810[[#This Row],[RISE Storage End Date]])=2025,TRUE,FALSE),FALSE)</f>
        <v>0</v>
      </c>
      <c r="Z238" s="11" t="b">
        <v>0</v>
      </c>
      <c r="AA238" s="13">
        <v>244</v>
      </c>
      <c r="AB238" s="13" t="s">
        <v>76</v>
      </c>
      <c r="AC238" s="13" t="s">
        <v>1193</v>
      </c>
      <c r="AD238" s="13" t="s">
        <v>1192</v>
      </c>
      <c r="AE238" s="13" t="s">
        <v>101</v>
      </c>
      <c r="AF238" s="13" t="s">
        <v>1194</v>
      </c>
      <c r="AG238" s="13" t="s">
        <v>91</v>
      </c>
      <c r="AH238" s="13" t="s">
        <v>92</v>
      </c>
      <c r="AI238" s="13" t="s">
        <v>103</v>
      </c>
      <c r="AJ238" s="14"/>
      <c r="AK238" s="15"/>
      <c r="AL238" s="15"/>
      <c r="AM238" s="15" t="s">
        <v>61</v>
      </c>
      <c r="AN238" s="15" t="s">
        <v>61</v>
      </c>
      <c r="AO238" s="15" t="s">
        <v>61</v>
      </c>
      <c r="AP238" s="15" t="s">
        <v>61</v>
      </c>
      <c r="AQ238" s="22"/>
      <c r="AR238" s="25"/>
      <c r="AS238" s="25"/>
      <c r="AT238" s="25"/>
      <c r="AU238" s="25"/>
      <c r="AV238" s="25"/>
      <c r="AW238" s="25"/>
      <c r="AX238" s="24"/>
    </row>
    <row r="239" spans="1:50" ht="16.5" customHeight="1">
      <c r="A239" s="36" t="s">
        <v>1195</v>
      </c>
      <c r="B239" s="28"/>
      <c r="C239" s="28" t="s">
        <v>97</v>
      </c>
      <c r="D239" s="28"/>
      <c r="E239" s="28"/>
      <c r="F239" s="32">
        <v>398</v>
      </c>
      <c r="G239" s="28"/>
      <c r="H239" s="28" t="str">
        <f>IF(ISNUMBER(Table810[[#This Row],[Total Capacity]]),"USBR Enterprise Asset Registry",IF(Table810[[#This Row],[Total Capacity]]="",""))</f>
        <v/>
      </c>
      <c r="I239" s="28"/>
      <c r="J239" s="28"/>
      <c r="K239" s="28"/>
      <c r="L239" s="50" t="s">
        <v>98</v>
      </c>
      <c r="M239" s="48"/>
      <c r="N239" s="50" t="s">
        <v>98</v>
      </c>
      <c r="O239" s="28"/>
      <c r="P239" s="37"/>
      <c r="Q239" s="28" t="str">
        <f>IF(OR(Table810[[#This Row],[Post-Review Decision]]="Include", Table810[[#This Row],[Post-Review Decision]]="Include if possible", Table810[[#This Row],[Post-Review Decision]]="Include (Omit % Avg if needed)",  Table810[[#This Row],[Post-Review Decision]]="Include (Omit % Avg)"),Table810[[#This Row],[EAR Total Capacity]],"")</f>
        <v/>
      </c>
      <c r="R239" s="28"/>
      <c r="S239" s="45" t="s">
        <v>59</v>
      </c>
      <c r="T239" s="28"/>
      <c r="U239" s="28"/>
      <c r="V239" s="17" t="s">
        <v>61</v>
      </c>
      <c r="W239" s="12" t="b">
        <f>ISNUMBER(Table810[[#This Row],[EAR Total Capacity]])</f>
        <v>0</v>
      </c>
      <c r="X239" s="12" t="b">
        <f>IF(Table810[[#This Row],[Has  Storage for Full Averaging Period?]]="OK",TRUE,FALSE)</f>
        <v>1</v>
      </c>
      <c r="Y239" s="12" t="b">
        <f>IFERROR(IF(YEAR(Table810[[#This Row],[RISE Storage End Date]])=2025,TRUE,FALSE),FALSE)</f>
        <v>1</v>
      </c>
      <c r="Z239" s="11" t="b">
        <v>0</v>
      </c>
      <c r="AA239" s="16" t="s">
        <v>61</v>
      </c>
      <c r="AB239" s="17" t="s">
        <v>61</v>
      </c>
      <c r="AC239" s="17" t="s">
        <v>61</v>
      </c>
      <c r="AD239" s="17" t="s">
        <v>61</v>
      </c>
      <c r="AE239" s="17" t="s">
        <v>61</v>
      </c>
      <c r="AF239" s="17" t="s">
        <v>61</v>
      </c>
      <c r="AG239" s="17" t="s">
        <v>61</v>
      </c>
      <c r="AH239" s="17" t="s">
        <v>61</v>
      </c>
      <c r="AI239" s="17" t="s">
        <v>61</v>
      </c>
      <c r="AJ239" s="17" t="s">
        <v>61</v>
      </c>
      <c r="AK239" s="18"/>
      <c r="AL239" s="18"/>
      <c r="AM239" s="13" t="s">
        <v>1196</v>
      </c>
      <c r="AN239" s="11" t="s">
        <v>95</v>
      </c>
      <c r="AO239" s="11" t="s">
        <v>1195</v>
      </c>
      <c r="AP239" s="11" t="e">
        <v>#N/A</v>
      </c>
      <c r="AQ239" s="21" t="s">
        <v>64</v>
      </c>
      <c r="AR239" s="26">
        <v>32417</v>
      </c>
      <c r="AS239" s="26">
        <v>45958</v>
      </c>
      <c r="AT239" s="25">
        <v>13675</v>
      </c>
      <c r="AU239" s="25" t="s">
        <v>65</v>
      </c>
      <c r="AV239" s="25" t="s">
        <v>65</v>
      </c>
      <c r="AW239" s="25" t="s">
        <v>65</v>
      </c>
      <c r="AX239" s="23"/>
    </row>
    <row r="240" spans="1:50" ht="16.5" customHeight="1">
      <c r="A240" s="36" t="s">
        <v>1197</v>
      </c>
      <c r="B240" s="32"/>
      <c r="C240" s="32" t="s">
        <v>97</v>
      </c>
      <c r="D240" s="32"/>
      <c r="E240" s="32"/>
      <c r="F240" s="28" t="s">
        <v>61</v>
      </c>
      <c r="G240" s="32"/>
      <c r="H240" s="32" t="str">
        <f>IF(ISNUMBER(Table810[[#This Row],[Total Capacity]]),"USBR Enterprise Asset Registry",IF(Table810[[#This Row],[Total Capacity]]="",""))</f>
        <v/>
      </c>
      <c r="I240" s="32"/>
      <c r="J240" s="32"/>
      <c r="K240" s="32"/>
      <c r="L240" s="53" t="s">
        <v>98</v>
      </c>
      <c r="M240" s="48"/>
      <c r="N240" s="50" t="s">
        <v>98</v>
      </c>
      <c r="O240" s="32"/>
      <c r="P240" s="41"/>
      <c r="Q240" s="32" t="str">
        <f>IF(OR(Table810[[#This Row],[Post-Review Decision]]="Include", Table810[[#This Row],[Post-Review Decision]]="Include if possible", Table810[[#This Row],[Post-Review Decision]]="Include (Omit % Avg if needed)",  Table810[[#This Row],[Post-Review Decision]]="Include (Omit % Avg)"),Table810[[#This Row],[EAR Total Capacity]],"")</f>
        <v/>
      </c>
      <c r="R240" s="32"/>
      <c r="S240" s="45">
        <v>0</v>
      </c>
      <c r="T240" s="32"/>
      <c r="U240" s="32"/>
      <c r="V240" s="13" t="s">
        <v>74</v>
      </c>
      <c r="W240" s="12" t="b">
        <f>ISNUMBER(Table810[[#This Row],[EAR Total Capacity]])</f>
        <v>0</v>
      </c>
      <c r="X240" s="12" t="b">
        <f>IF(Table810[[#This Row],[Has  Storage for Full Averaging Period?]]="OK",TRUE,FALSE)</f>
        <v>0</v>
      </c>
      <c r="Y240" s="12" t="b">
        <f>IFERROR(IF(YEAR(Table810[[#This Row],[RISE Storage End Date]])=2025,TRUE,FALSE),FALSE)</f>
        <v>0</v>
      </c>
      <c r="Z240" s="11" t="b">
        <v>0</v>
      </c>
      <c r="AA240" s="13">
        <v>245</v>
      </c>
      <c r="AB240" s="13" t="s">
        <v>76</v>
      </c>
      <c r="AC240" s="13" t="s">
        <v>1198</v>
      </c>
      <c r="AD240" s="13" t="s">
        <v>1197</v>
      </c>
      <c r="AE240" s="13" t="s">
        <v>101</v>
      </c>
      <c r="AF240" s="13" t="s">
        <v>1199</v>
      </c>
      <c r="AG240" s="13" t="s">
        <v>80</v>
      </c>
      <c r="AH240" s="13" t="s">
        <v>81</v>
      </c>
      <c r="AI240" s="13"/>
      <c r="AJ240" s="14"/>
      <c r="AK240" s="15"/>
      <c r="AL240" s="15"/>
      <c r="AM240" s="15" t="s">
        <v>61</v>
      </c>
      <c r="AN240" s="15" t="s">
        <v>61</v>
      </c>
      <c r="AO240" s="15" t="s">
        <v>61</v>
      </c>
      <c r="AP240" s="15" t="s">
        <v>61</v>
      </c>
      <c r="AQ240" s="22"/>
      <c r="AR240" s="25"/>
      <c r="AS240" s="25"/>
      <c r="AT240" s="25"/>
      <c r="AU240" s="25"/>
      <c r="AV240" s="25"/>
      <c r="AW240" s="25"/>
      <c r="AX240" s="24"/>
    </row>
    <row r="241" spans="1:50" ht="16.5" customHeight="1">
      <c r="A241" s="36" t="s">
        <v>1200</v>
      </c>
      <c r="B241" s="28"/>
      <c r="C241" s="28" t="s">
        <v>97</v>
      </c>
      <c r="D241" s="28"/>
      <c r="E241" s="28"/>
      <c r="F241" s="28" t="s">
        <v>61</v>
      </c>
      <c r="G241" s="28"/>
      <c r="H241" s="28" t="str">
        <f>IF(ISNUMBER(Table810[[#This Row],[Total Capacity]]),"USBR Enterprise Asset Registry",IF(Table810[[#This Row],[Total Capacity]]="",""))</f>
        <v/>
      </c>
      <c r="I241" s="28"/>
      <c r="J241" s="28"/>
      <c r="K241" s="28"/>
      <c r="L241" s="50" t="s">
        <v>98</v>
      </c>
      <c r="M241" s="48"/>
      <c r="N241" s="50" t="s">
        <v>98</v>
      </c>
      <c r="O241" s="28"/>
      <c r="P241" s="37"/>
      <c r="Q241" s="28" t="str">
        <f>IF(OR(Table810[[#This Row],[Post-Review Decision]]="Include", Table810[[#This Row],[Post-Review Decision]]="Include if possible", Table810[[#This Row],[Post-Review Decision]]="Include (Omit % Avg if needed)",  Table810[[#This Row],[Post-Review Decision]]="Include (Omit % Avg)"),Table810[[#This Row],[EAR Total Capacity]],"")</f>
        <v/>
      </c>
      <c r="R241" s="28"/>
      <c r="S241" s="45">
        <v>0</v>
      </c>
      <c r="T241" s="28"/>
      <c r="U241" s="28"/>
      <c r="V241" s="13" t="s">
        <v>264</v>
      </c>
      <c r="W241" s="12" t="b">
        <f>ISNUMBER(Table810[[#This Row],[EAR Total Capacity]])</f>
        <v>1</v>
      </c>
      <c r="X241" s="12" t="b">
        <f>IF(Table810[[#This Row],[Has  Storage for Full Averaging Period?]]="OK",TRUE,FALSE)</f>
        <v>0</v>
      </c>
      <c r="Y241" s="12" t="b">
        <f>IFERROR(IF(YEAR(Table810[[#This Row],[RISE Storage End Date]])=2025,TRUE,FALSE),FALSE)</f>
        <v>0</v>
      </c>
      <c r="Z241" s="11" t="b">
        <v>0</v>
      </c>
      <c r="AA241" s="13">
        <v>247</v>
      </c>
      <c r="AB241" s="13" t="s">
        <v>76</v>
      </c>
      <c r="AC241" s="13" t="s">
        <v>1201</v>
      </c>
      <c r="AD241" s="13" t="s">
        <v>1200</v>
      </c>
      <c r="AE241" s="13" t="s">
        <v>78</v>
      </c>
      <c r="AF241" s="13" t="s">
        <v>1202</v>
      </c>
      <c r="AG241" s="13" t="s">
        <v>91</v>
      </c>
      <c r="AH241" s="13" t="s">
        <v>92</v>
      </c>
      <c r="AI241" s="13" t="s">
        <v>103</v>
      </c>
      <c r="AJ241" s="14">
        <v>100</v>
      </c>
      <c r="AK241" s="15"/>
      <c r="AL241" s="15"/>
      <c r="AM241" s="15" t="s">
        <v>61</v>
      </c>
      <c r="AN241" s="15" t="s">
        <v>61</v>
      </c>
      <c r="AO241" s="15" t="s">
        <v>61</v>
      </c>
      <c r="AP241" s="15" t="s">
        <v>61</v>
      </c>
      <c r="AQ241" s="21" t="s">
        <v>136</v>
      </c>
      <c r="AR241" s="25"/>
      <c r="AS241" s="25"/>
      <c r="AT241" s="25"/>
      <c r="AU241" s="25"/>
      <c r="AV241" s="25"/>
      <c r="AW241" s="25"/>
      <c r="AX241" s="24"/>
    </row>
    <row r="242" spans="1:50" ht="16.5" customHeight="1">
      <c r="A242" s="36" t="s">
        <v>1203</v>
      </c>
      <c r="B242" s="28"/>
      <c r="C242" s="28" t="s">
        <v>97</v>
      </c>
      <c r="D242" s="28"/>
      <c r="E242" s="28"/>
      <c r="F242" s="28" t="s">
        <v>61</v>
      </c>
      <c r="G242" s="28"/>
      <c r="H242" s="28" t="str">
        <f>IF(ISNUMBER(Table810[[#This Row],[Total Capacity]]),"USBR Enterprise Asset Registry",IF(Table810[[#This Row],[Total Capacity]]="",""))</f>
        <v/>
      </c>
      <c r="I242" s="28"/>
      <c r="J242" s="28"/>
      <c r="K242" s="28"/>
      <c r="L242" s="50" t="s">
        <v>98</v>
      </c>
      <c r="M242" s="48"/>
      <c r="N242" s="50" t="s">
        <v>98</v>
      </c>
      <c r="O242" s="28"/>
      <c r="P242" s="37"/>
      <c r="Q242" s="28" t="str">
        <f>IF(OR(Table810[[#This Row],[Post-Review Decision]]="Include", Table810[[#This Row],[Post-Review Decision]]="Include if possible", Table810[[#This Row],[Post-Review Decision]]="Include (Omit % Avg if needed)",  Table810[[#This Row],[Post-Review Decision]]="Include (Omit % Avg)"),Table810[[#This Row],[EAR Total Capacity]],"")</f>
        <v/>
      </c>
      <c r="R242" s="28"/>
      <c r="S242" s="45">
        <v>0</v>
      </c>
      <c r="T242" s="28"/>
      <c r="U242" s="28"/>
      <c r="V242" s="13" t="s">
        <v>293</v>
      </c>
      <c r="W242" s="12" t="b">
        <f>ISNUMBER(Table810[[#This Row],[EAR Total Capacity]])</f>
        <v>0</v>
      </c>
      <c r="X242" s="12" t="b">
        <f>IF(Table810[[#This Row],[Has  Storage for Full Averaging Period?]]="OK",TRUE,FALSE)</f>
        <v>0</v>
      </c>
      <c r="Y242" s="12" t="b">
        <f>IFERROR(IF(YEAR(Table810[[#This Row],[RISE Storage End Date]])=2025,TRUE,FALSE),FALSE)</f>
        <v>0</v>
      </c>
      <c r="Z242" s="11" t="b">
        <v>0</v>
      </c>
      <c r="AA242" s="13">
        <v>248</v>
      </c>
      <c r="AB242" s="13" t="s">
        <v>76</v>
      </c>
      <c r="AC242" s="13" t="s">
        <v>1204</v>
      </c>
      <c r="AD242" s="13" t="s">
        <v>1203</v>
      </c>
      <c r="AE242" s="13" t="s">
        <v>101</v>
      </c>
      <c r="AF242" s="13" t="s">
        <v>1205</v>
      </c>
      <c r="AG242" s="13" t="s">
        <v>91</v>
      </c>
      <c r="AH242" s="13" t="s">
        <v>102</v>
      </c>
      <c r="AI242" s="13" t="s">
        <v>103</v>
      </c>
      <c r="AJ242" s="14"/>
      <c r="AK242" s="15"/>
      <c r="AL242" s="15"/>
      <c r="AM242" s="15" t="s">
        <v>61</v>
      </c>
      <c r="AN242" s="15" t="s">
        <v>61</v>
      </c>
      <c r="AO242" s="15" t="s">
        <v>61</v>
      </c>
      <c r="AP242" s="15" t="s">
        <v>61</v>
      </c>
      <c r="AQ242" s="22"/>
      <c r="AR242" s="25"/>
      <c r="AS242" s="25"/>
      <c r="AT242" s="25"/>
      <c r="AU242" s="25"/>
      <c r="AV242" s="25"/>
      <c r="AW242" s="25"/>
      <c r="AX242" s="24"/>
    </row>
    <row r="243" spans="1:50" ht="16.5" customHeight="1">
      <c r="A243" s="36" t="s">
        <v>1206</v>
      </c>
      <c r="B243" s="28"/>
      <c r="C243" s="28" t="s">
        <v>97</v>
      </c>
      <c r="D243" s="28"/>
      <c r="E243" s="28"/>
      <c r="F243" s="28" t="s">
        <v>61</v>
      </c>
      <c r="G243" s="28"/>
      <c r="H243" s="28" t="str">
        <f>IF(ISNUMBER(Table810[[#This Row],[Total Capacity]]),"USBR Enterprise Asset Registry",IF(Table810[[#This Row],[Total Capacity]]="",""))</f>
        <v/>
      </c>
      <c r="I243" s="28"/>
      <c r="J243" s="28"/>
      <c r="K243" s="28"/>
      <c r="L243" s="50" t="s">
        <v>98</v>
      </c>
      <c r="M243" s="48"/>
      <c r="N243" s="50" t="s">
        <v>98</v>
      </c>
      <c r="O243" s="28"/>
      <c r="P243" s="37"/>
      <c r="Q243" s="28" t="str">
        <f>IF(OR(Table810[[#This Row],[Post-Review Decision]]="Include", Table810[[#This Row],[Post-Review Decision]]="Include if possible", Table810[[#This Row],[Post-Review Decision]]="Include (Omit % Avg if needed)",  Table810[[#This Row],[Post-Review Decision]]="Include (Omit % Avg)"),Table810[[#This Row],[EAR Total Capacity]],"")</f>
        <v/>
      </c>
      <c r="R243" s="28">
        <v>5270</v>
      </c>
      <c r="S243" s="45">
        <v>0</v>
      </c>
      <c r="T243" s="28"/>
      <c r="U243" s="28"/>
      <c r="V243" s="13" t="s">
        <v>1207</v>
      </c>
      <c r="W243" s="12" t="b">
        <f>ISNUMBER(Table810[[#This Row],[EAR Total Capacity]])</f>
        <v>1</v>
      </c>
      <c r="X243" s="12" t="b">
        <f>IF(Table810[[#This Row],[Has  Storage for Full Averaging Period?]]="OK",TRUE,FALSE)</f>
        <v>0</v>
      </c>
      <c r="Y243" s="12" t="b">
        <f>IFERROR(IF(YEAR(Table810[[#This Row],[RISE Storage End Date]])=2025,TRUE,FALSE),FALSE)</f>
        <v>0</v>
      </c>
      <c r="Z243" s="11" t="b">
        <v>0</v>
      </c>
      <c r="AA243" s="13">
        <v>249</v>
      </c>
      <c r="AB243" s="13" t="s">
        <v>76</v>
      </c>
      <c r="AC243" s="13" t="s">
        <v>1208</v>
      </c>
      <c r="AD243" s="13" t="s">
        <v>1206</v>
      </c>
      <c r="AE243" s="13" t="s">
        <v>78</v>
      </c>
      <c r="AF243" s="13" t="s">
        <v>1209</v>
      </c>
      <c r="AG243" s="13" t="s">
        <v>159</v>
      </c>
      <c r="AH243" s="13" t="s">
        <v>160</v>
      </c>
      <c r="AI243" s="13" t="s">
        <v>93</v>
      </c>
      <c r="AJ243" s="13">
        <v>5580</v>
      </c>
      <c r="AK243" s="15"/>
      <c r="AL243" s="15"/>
      <c r="AM243" s="15" t="s">
        <v>61</v>
      </c>
      <c r="AN243" s="15" t="s">
        <v>61</v>
      </c>
      <c r="AO243" s="15" t="s">
        <v>61</v>
      </c>
      <c r="AP243" s="15" t="s">
        <v>61</v>
      </c>
      <c r="AQ243" s="21" t="s">
        <v>136</v>
      </c>
      <c r="AR243" s="25"/>
      <c r="AS243" s="25"/>
      <c r="AT243" s="25"/>
      <c r="AU243" s="25"/>
      <c r="AV243" s="25"/>
      <c r="AW243" s="25"/>
      <c r="AX243" s="24"/>
    </row>
    <row r="244" spans="1:50" ht="16.5" customHeight="1">
      <c r="A244" s="36" t="s">
        <v>1210</v>
      </c>
      <c r="B244" s="28"/>
      <c r="C244" s="28" t="s">
        <v>97</v>
      </c>
      <c r="D244" s="28"/>
      <c r="E244" s="28"/>
      <c r="F244" s="28">
        <v>3709</v>
      </c>
      <c r="G244" s="28"/>
      <c r="H244" s="28" t="str">
        <f>IF(ISNUMBER(Table810[[#This Row],[Total Capacity]]),"USBR Enterprise Asset Registry",IF(Table810[[#This Row],[Total Capacity]]="",""))</f>
        <v/>
      </c>
      <c r="I244" s="28"/>
      <c r="J244" s="28"/>
      <c r="K244" s="28"/>
      <c r="L244" s="50" t="s">
        <v>98</v>
      </c>
      <c r="M244" s="48"/>
      <c r="N244" s="50" t="s">
        <v>98</v>
      </c>
      <c r="O244" s="28"/>
      <c r="P244" s="37"/>
      <c r="Q244" s="28" t="str">
        <f>IF(OR(Table810[[#This Row],[Post-Review Decision]]="Include", Table810[[#This Row],[Post-Review Decision]]="Include if possible", Table810[[#This Row],[Post-Review Decision]]="Include (Omit % Avg if needed)",  Table810[[#This Row],[Post-Review Decision]]="Include (Omit % Avg)"),Table810[[#This Row],[EAR Total Capacity]],"")</f>
        <v/>
      </c>
      <c r="R244" s="28"/>
      <c r="S244" s="45" t="s">
        <v>59</v>
      </c>
      <c r="T244" s="28"/>
      <c r="U244" s="28"/>
      <c r="V244" s="17" t="s">
        <v>61</v>
      </c>
      <c r="W244" s="12" t="b">
        <f>ISNUMBER(Table810[[#This Row],[EAR Total Capacity]])</f>
        <v>0</v>
      </c>
      <c r="X244" s="12" t="b">
        <f>IF(Table810[[#This Row],[Has  Storage for Full Averaging Period?]]="OK",TRUE,FALSE)</f>
        <v>0</v>
      </c>
      <c r="Y244" s="12" t="b">
        <f>IFERROR(IF(YEAR(Table810[[#This Row],[RISE Storage End Date]])=2025,TRUE,FALSE),FALSE)</f>
        <v>0</v>
      </c>
      <c r="Z244" s="11" t="b">
        <v>0</v>
      </c>
      <c r="AA244" s="16" t="s">
        <v>61</v>
      </c>
      <c r="AB244" s="17" t="s">
        <v>61</v>
      </c>
      <c r="AC244" s="17" t="s">
        <v>61</v>
      </c>
      <c r="AD244" s="17" t="s">
        <v>61</v>
      </c>
      <c r="AE244" s="17" t="s">
        <v>61</v>
      </c>
      <c r="AF244" s="17" t="s">
        <v>61</v>
      </c>
      <c r="AG244" s="17" t="s">
        <v>61</v>
      </c>
      <c r="AH244" s="17" t="s">
        <v>61</v>
      </c>
      <c r="AI244" s="17" t="s">
        <v>61</v>
      </c>
      <c r="AJ244" s="17" t="s">
        <v>61</v>
      </c>
      <c r="AK244" s="18"/>
      <c r="AL244" s="18"/>
      <c r="AM244" s="13" t="s">
        <v>1211</v>
      </c>
      <c r="AN244" s="11" t="s">
        <v>63</v>
      </c>
      <c r="AO244" s="11" t="s">
        <v>1210</v>
      </c>
      <c r="AP244" s="11" t="s">
        <v>1212</v>
      </c>
      <c r="AQ244" s="21" t="s">
        <v>136</v>
      </c>
      <c r="AR244" s="25"/>
      <c r="AS244" s="25"/>
      <c r="AT244" s="25"/>
      <c r="AU244" s="25"/>
      <c r="AV244" s="25"/>
      <c r="AW244" s="25"/>
      <c r="AX244" s="23"/>
    </row>
    <row r="245" spans="1:50" ht="16.5" customHeight="1">
      <c r="A245" s="36" t="s">
        <v>1213</v>
      </c>
      <c r="B245" s="28"/>
      <c r="C245" s="28" t="s">
        <v>97</v>
      </c>
      <c r="D245" s="28"/>
      <c r="E245" s="28"/>
      <c r="F245" s="28" t="s">
        <v>61</v>
      </c>
      <c r="G245" s="28"/>
      <c r="H245" s="28" t="str">
        <f>IF(ISNUMBER(Table810[[#This Row],[Total Capacity]]),"USBR Enterprise Asset Registry",IF(Table810[[#This Row],[Total Capacity]]="",""))</f>
        <v/>
      </c>
      <c r="I245" s="28"/>
      <c r="J245" s="28"/>
      <c r="K245" s="28"/>
      <c r="L245" s="50" t="s">
        <v>98</v>
      </c>
      <c r="M245" s="48"/>
      <c r="N245" s="50" t="s">
        <v>98</v>
      </c>
      <c r="O245" s="28"/>
      <c r="P245" s="37"/>
      <c r="Q245" s="28" t="str">
        <f>IF(OR(Table810[[#This Row],[Post-Review Decision]]="Include", Table810[[#This Row],[Post-Review Decision]]="Include if possible", Table810[[#This Row],[Post-Review Decision]]="Include (Omit % Avg if needed)",  Table810[[#This Row],[Post-Review Decision]]="Include (Omit % Avg)"),Table810[[#This Row],[EAR Total Capacity]],"")</f>
        <v/>
      </c>
      <c r="R245" s="28"/>
      <c r="S245" s="45">
        <v>0</v>
      </c>
      <c r="T245" s="28"/>
      <c r="U245" s="28"/>
      <c r="V245" s="13" t="s">
        <v>259</v>
      </c>
      <c r="W245" s="12" t="b">
        <f>ISNUMBER(Table810[[#This Row],[EAR Total Capacity]])</f>
        <v>0</v>
      </c>
      <c r="X245" s="12" t="b">
        <f>IF(Table810[[#This Row],[Has  Storage for Full Averaging Period?]]="OK",TRUE,FALSE)</f>
        <v>0</v>
      </c>
      <c r="Y245" s="12" t="b">
        <f>IFERROR(IF(YEAR(Table810[[#This Row],[RISE Storage End Date]])=2025,TRUE,FALSE),FALSE)</f>
        <v>0</v>
      </c>
      <c r="Z245" s="11" t="b">
        <v>0</v>
      </c>
      <c r="AA245" s="13">
        <v>250</v>
      </c>
      <c r="AB245" s="13" t="s">
        <v>76</v>
      </c>
      <c r="AC245" s="13" t="s">
        <v>1214</v>
      </c>
      <c r="AD245" s="13" t="s">
        <v>1213</v>
      </c>
      <c r="AE245" s="13" t="s">
        <v>101</v>
      </c>
      <c r="AF245" s="13" t="s">
        <v>1215</v>
      </c>
      <c r="AG245" s="13" t="s">
        <v>91</v>
      </c>
      <c r="AH245" s="13" t="s">
        <v>102</v>
      </c>
      <c r="AI245" s="13" t="s">
        <v>103</v>
      </c>
      <c r="AJ245" s="14"/>
      <c r="AK245" s="15"/>
      <c r="AL245" s="15"/>
      <c r="AM245" s="15" t="s">
        <v>61</v>
      </c>
      <c r="AN245" s="15" t="s">
        <v>61</v>
      </c>
      <c r="AO245" s="15" t="s">
        <v>61</v>
      </c>
      <c r="AP245" s="15" t="s">
        <v>61</v>
      </c>
      <c r="AQ245" s="22"/>
      <c r="AR245" s="25"/>
      <c r="AS245" s="25"/>
      <c r="AT245" s="25"/>
      <c r="AU245" s="25"/>
      <c r="AV245" s="25"/>
      <c r="AW245" s="25"/>
      <c r="AX245" s="24"/>
    </row>
    <row r="246" spans="1:50" ht="16.5" customHeight="1">
      <c r="A246" s="36" t="s">
        <v>1216</v>
      </c>
      <c r="B246" s="28" t="s">
        <v>68</v>
      </c>
      <c r="C246" s="28" t="s">
        <v>69</v>
      </c>
      <c r="D246" s="28"/>
      <c r="E246" s="28" t="s">
        <v>70</v>
      </c>
      <c r="F246" s="28">
        <v>7202</v>
      </c>
      <c r="G246" s="28">
        <v>3</v>
      </c>
      <c r="H246" s="28" t="str">
        <f>IF(ISNUMBER(Table810[[#This Row],[Total Capacity]]),"USBR Enterprise Asset Registry",IF(Table810[[#This Row],[Total Capacity]]="",""))</f>
        <v>USBR Enterprise Asset Registry</v>
      </c>
      <c r="I246" s="28" t="s">
        <v>71</v>
      </c>
      <c r="J246" s="28" t="s">
        <v>72</v>
      </c>
      <c r="K246" s="28"/>
      <c r="L246" s="50">
        <v>30000</v>
      </c>
      <c r="M246" s="48"/>
      <c r="N246" s="50">
        <v>30000</v>
      </c>
      <c r="O246" s="28"/>
      <c r="P246" s="37"/>
      <c r="Q246" s="28">
        <f>IF(OR(Table810[[#This Row],[Post-Review Decision]]="Include", Table810[[#This Row],[Post-Review Decision]]="Include if possible", Table810[[#This Row],[Post-Review Decision]]="Include (Omit % Avg if needed)",  Table810[[#This Row],[Post-Review Decision]]="Include (Omit % Avg)"),Table810[[#This Row],[EAR Total Capacity]],"")</f>
        <v>30000</v>
      </c>
      <c r="R246" s="28">
        <v>30000</v>
      </c>
      <c r="S246" s="46">
        <v>30000</v>
      </c>
      <c r="T246" s="28" t="s">
        <v>1216</v>
      </c>
      <c r="U246" s="28" t="s">
        <v>1217</v>
      </c>
      <c r="V246" s="13" t="s">
        <v>1218</v>
      </c>
      <c r="W246" s="12" t="b">
        <f>ISNUMBER(Table810[[#This Row],[EAR Total Capacity]])</f>
        <v>1</v>
      </c>
      <c r="X246" s="12" t="s">
        <v>75</v>
      </c>
      <c r="Y246" s="12" t="b">
        <f>IFERROR(IF(YEAR(Table810[[#This Row],[RISE Storage End Date]])=2025,TRUE,FALSE),FALSE)</f>
        <v>0</v>
      </c>
      <c r="Z246" s="11" t="b">
        <v>0</v>
      </c>
      <c r="AA246" s="13">
        <v>251</v>
      </c>
      <c r="AB246" s="13" t="s">
        <v>76</v>
      </c>
      <c r="AC246" s="13" t="s">
        <v>1219</v>
      </c>
      <c r="AD246" s="13" t="s">
        <v>1216</v>
      </c>
      <c r="AE246" s="13" t="s">
        <v>78</v>
      </c>
      <c r="AF246" s="13" t="s">
        <v>1220</v>
      </c>
      <c r="AG246" s="13" t="s">
        <v>80</v>
      </c>
      <c r="AH246" s="13" t="s">
        <v>81</v>
      </c>
      <c r="AI246" s="13" t="s">
        <v>93</v>
      </c>
      <c r="AJ246" s="19">
        <v>30000</v>
      </c>
      <c r="AK246" s="18"/>
      <c r="AL246" s="18"/>
      <c r="AM246" s="13" t="s">
        <v>1221</v>
      </c>
      <c r="AN246" s="13" t="s">
        <v>84</v>
      </c>
      <c r="AO246" s="13" t="s">
        <v>1216</v>
      </c>
      <c r="AP246" s="13" t="s">
        <v>1216</v>
      </c>
      <c r="AQ246" s="21" t="s">
        <v>64</v>
      </c>
      <c r="AR246" s="25"/>
      <c r="AS246" s="25"/>
      <c r="AT246" s="25"/>
      <c r="AU246" s="25"/>
      <c r="AV246" s="25"/>
      <c r="AW246" s="25"/>
      <c r="AX246" s="24"/>
    </row>
    <row r="247" spans="1:50" ht="16.5" customHeight="1">
      <c r="A247" s="36" t="s">
        <v>1222</v>
      </c>
      <c r="B247" s="28"/>
      <c r="C247" s="28" t="s">
        <v>97</v>
      </c>
      <c r="D247" s="28"/>
      <c r="E247" s="28"/>
      <c r="F247" s="28">
        <v>3654</v>
      </c>
      <c r="G247" s="28"/>
      <c r="H247" s="28" t="str">
        <f>IF(ISNUMBER(Table810[[#This Row],[Total Capacity]]),"USBR Enterprise Asset Registry",IF(Table810[[#This Row],[Total Capacity]]="",""))</f>
        <v/>
      </c>
      <c r="I247" s="28"/>
      <c r="J247" s="28"/>
      <c r="K247" s="28"/>
      <c r="L247" s="50" t="s">
        <v>98</v>
      </c>
      <c r="M247" s="48"/>
      <c r="N247" s="50" t="s">
        <v>98</v>
      </c>
      <c r="O247" s="28"/>
      <c r="P247" s="37"/>
      <c r="Q247" s="28" t="str">
        <f>IF(OR(Table810[[#This Row],[Post-Review Decision]]="Include", Table810[[#This Row],[Post-Review Decision]]="Include if possible", Table810[[#This Row],[Post-Review Decision]]="Include (Omit % Avg if needed)",  Table810[[#This Row],[Post-Review Decision]]="Include (Omit % Avg)"),Table810[[#This Row],[EAR Total Capacity]],"")</f>
        <v/>
      </c>
      <c r="R247" s="28"/>
      <c r="S247" s="45" t="s">
        <v>59</v>
      </c>
      <c r="T247" s="28"/>
      <c r="U247" s="28"/>
      <c r="V247" s="17" t="s">
        <v>61</v>
      </c>
      <c r="W247" s="12" t="b">
        <f>ISNUMBER(Table810[[#This Row],[EAR Total Capacity]])</f>
        <v>0</v>
      </c>
      <c r="X247" s="12" t="b">
        <f>IF(Table810[[#This Row],[Has  Storage for Full Averaging Period?]]="OK",TRUE,FALSE)</f>
        <v>0</v>
      </c>
      <c r="Y247" s="12" t="b">
        <f>IFERROR(IF(YEAR(Table810[[#This Row],[RISE Storage End Date]])=2025,TRUE,FALSE),FALSE)</f>
        <v>0</v>
      </c>
      <c r="Z247" s="11" t="b">
        <v>0</v>
      </c>
      <c r="AA247" s="16" t="s">
        <v>61</v>
      </c>
      <c r="AB247" s="17" t="s">
        <v>61</v>
      </c>
      <c r="AC247" s="17" t="s">
        <v>61</v>
      </c>
      <c r="AD247" s="17" t="s">
        <v>61</v>
      </c>
      <c r="AE247" s="17" t="s">
        <v>61</v>
      </c>
      <c r="AF247" s="17" t="s">
        <v>61</v>
      </c>
      <c r="AG247" s="17" t="s">
        <v>61</v>
      </c>
      <c r="AH247" s="17" t="s">
        <v>61</v>
      </c>
      <c r="AI247" s="17" t="s">
        <v>61</v>
      </c>
      <c r="AJ247" s="17" t="s">
        <v>61</v>
      </c>
      <c r="AK247" s="18"/>
      <c r="AL247" s="18"/>
      <c r="AM247" s="13" t="s">
        <v>1223</v>
      </c>
      <c r="AN247" s="11" t="s">
        <v>135</v>
      </c>
      <c r="AO247" s="11" t="s">
        <v>1222</v>
      </c>
      <c r="AP247" s="11" t="s">
        <v>1224</v>
      </c>
      <c r="AQ247" s="21" t="s">
        <v>136</v>
      </c>
      <c r="AR247" s="25"/>
      <c r="AS247" s="25"/>
      <c r="AT247" s="25"/>
      <c r="AU247" s="25"/>
      <c r="AV247" s="25"/>
      <c r="AW247" s="25"/>
      <c r="AX247" s="23"/>
    </row>
    <row r="248" spans="1:50" ht="16.5" customHeight="1">
      <c r="A248" s="36" t="s">
        <v>1225</v>
      </c>
      <c r="B248" s="28"/>
      <c r="C248" s="28" t="s">
        <v>97</v>
      </c>
      <c r="D248" s="28"/>
      <c r="E248" s="28"/>
      <c r="F248" s="28" t="s">
        <v>61</v>
      </c>
      <c r="G248" s="28"/>
      <c r="H248" s="28" t="str">
        <f>IF(ISNUMBER(Table810[[#This Row],[Total Capacity]]),"USBR Enterprise Asset Registry",IF(Table810[[#This Row],[Total Capacity]]="",""))</f>
        <v/>
      </c>
      <c r="I248" s="28"/>
      <c r="J248" s="28"/>
      <c r="K248" s="28"/>
      <c r="L248" s="50" t="s">
        <v>98</v>
      </c>
      <c r="M248" s="48"/>
      <c r="N248" s="50" t="s">
        <v>98</v>
      </c>
      <c r="O248" s="28"/>
      <c r="P248" s="37"/>
      <c r="Q248" s="28" t="str">
        <f>IF(OR(Table810[[#This Row],[Post-Review Decision]]="Include", Table810[[#This Row],[Post-Review Decision]]="Include if possible", Table810[[#This Row],[Post-Review Decision]]="Include (Omit % Avg if needed)",  Table810[[#This Row],[Post-Review Decision]]="Include (Omit % Avg)"),Table810[[#This Row],[EAR Total Capacity]],"")</f>
        <v/>
      </c>
      <c r="R248" s="28">
        <v>26300</v>
      </c>
      <c r="S248" s="45">
        <v>0</v>
      </c>
      <c r="T248" s="28"/>
      <c r="U248" s="28"/>
      <c r="V248" s="13" t="s">
        <v>1207</v>
      </c>
      <c r="W248" s="12" t="b">
        <f>ISNUMBER(Table810[[#This Row],[EAR Total Capacity]])</f>
        <v>1</v>
      </c>
      <c r="X248" s="12" t="b">
        <f>IF(Table810[[#This Row],[Has  Storage for Full Averaging Period?]]="OK",TRUE,FALSE)</f>
        <v>0</v>
      </c>
      <c r="Y248" s="12" t="b">
        <f>IFERROR(IF(YEAR(Table810[[#This Row],[RISE Storage End Date]])=2025,TRUE,FALSE),FALSE)</f>
        <v>0</v>
      </c>
      <c r="Z248" s="11" t="b">
        <v>0</v>
      </c>
      <c r="AA248" s="13">
        <v>252</v>
      </c>
      <c r="AB248" s="13" t="s">
        <v>76</v>
      </c>
      <c r="AC248" s="13" t="s">
        <v>1226</v>
      </c>
      <c r="AD248" s="13" t="s">
        <v>1225</v>
      </c>
      <c r="AE248" s="13" t="s">
        <v>78</v>
      </c>
      <c r="AF248" s="13" t="s">
        <v>1227</v>
      </c>
      <c r="AG248" s="13" t="s">
        <v>159</v>
      </c>
      <c r="AH248" s="13" t="s">
        <v>160</v>
      </c>
      <c r="AI248" s="13" t="s">
        <v>356</v>
      </c>
      <c r="AJ248" s="13">
        <v>34600</v>
      </c>
      <c r="AK248" s="15"/>
      <c r="AL248" s="15"/>
      <c r="AM248" s="15" t="s">
        <v>61</v>
      </c>
      <c r="AN248" s="15" t="s">
        <v>61</v>
      </c>
      <c r="AO248" s="15" t="s">
        <v>61</v>
      </c>
      <c r="AP248" s="15" t="s">
        <v>61</v>
      </c>
      <c r="AQ248" s="21" t="s">
        <v>136</v>
      </c>
      <c r="AR248" s="25"/>
      <c r="AS248" s="25"/>
      <c r="AT248" s="25"/>
      <c r="AU248" s="25"/>
      <c r="AV248" s="25"/>
      <c r="AW248" s="25"/>
      <c r="AX248" s="24"/>
    </row>
    <row r="249" spans="1:50" ht="16.5" customHeight="1">
      <c r="A249" s="36" t="s">
        <v>1228</v>
      </c>
      <c r="B249" s="28" t="s">
        <v>68</v>
      </c>
      <c r="C249" s="28" t="s">
        <v>321</v>
      </c>
      <c r="D249" s="28"/>
      <c r="E249" s="28" t="s">
        <v>70</v>
      </c>
      <c r="F249" s="28">
        <v>3209</v>
      </c>
      <c r="G249" s="28">
        <v>3</v>
      </c>
      <c r="H249" s="28" t="str">
        <f>IF(ISNUMBER(Table810[[#This Row],[Total Capacity]]),"USBR Enterprise Asset Registry",IF(Table810[[#This Row],[Total Capacity]]="",""))</f>
        <v>USBR Enterprise Asset Registry</v>
      </c>
      <c r="I249" s="28" t="s">
        <v>257</v>
      </c>
      <c r="J249" s="28" t="s">
        <v>72</v>
      </c>
      <c r="K249" s="28"/>
      <c r="L249" s="50">
        <v>1155</v>
      </c>
      <c r="M249" s="48"/>
      <c r="N249" s="50">
        <v>1155</v>
      </c>
      <c r="O249" s="28"/>
      <c r="P249" s="37"/>
      <c r="Q249" s="28">
        <f>IF(OR(Table810[[#This Row],[Post-Review Decision]]="Include", Table810[[#This Row],[Post-Review Decision]]="Include if possible", Table810[[#This Row],[Post-Review Decision]]="Include (Omit % Avg if needed)",  Table810[[#This Row],[Post-Review Decision]]="Include (Omit % Avg)"),Table810[[#This Row],[EAR Total Capacity]],"")</f>
        <v>1155</v>
      </c>
      <c r="R249" s="28">
        <v>1155</v>
      </c>
      <c r="S249" s="46">
        <v>1155</v>
      </c>
      <c r="T249" s="28" t="s">
        <v>1229</v>
      </c>
      <c r="U249" s="28" t="s">
        <v>1230</v>
      </c>
      <c r="V249" s="13" t="s">
        <v>606</v>
      </c>
      <c r="W249" s="12" t="b">
        <f>ISNUMBER(Table810[[#This Row],[EAR Total Capacity]])</f>
        <v>1</v>
      </c>
      <c r="X249" s="12" t="b">
        <f>IF(Table810[[#This Row],[Has  Storage for Full Averaging Period?]]="OK",TRUE,FALSE)</f>
        <v>0</v>
      </c>
      <c r="Y249" s="12" t="b">
        <f>IFERROR(IF(YEAR(Table810[[#This Row],[RISE Storage End Date]])=2025,TRUE,FALSE),FALSE)</f>
        <v>1</v>
      </c>
      <c r="Z249" s="11" t="b">
        <v>0</v>
      </c>
      <c r="AA249" s="13">
        <v>254</v>
      </c>
      <c r="AB249" s="13" t="s">
        <v>76</v>
      </c>
      <c r="AC249" s="13" t="s">
        <v>1229</v>
      </c>
      <c r="AD249" s="13" t="s">
        <v>1228</v>
      </c>
      <c r="AE249" s="13" t="s">
        <v>78</v>
      </c>
      <c r="AF249" s="13" t="s">
        <v>1231</v>
      </c>
      <c r="AG249" s="13" t="s">
        <v>91</v>
      </c>
      <c r="AH249" s="13" t="s">
        <v>102</v>
      </c>
      <c r="AI249" s="13" t="s">
        <v>93</v>
      </c>
      <c r="AJ249" s="14">
        <v>1155</v>
      </c>
      <c r="AK249" s="18"/>
      <c r="AL249" s="18"/>
      <c r="AM249" s="13" t="s">
        <v>1229</v>
      </c>
      <c r="AN249" s="13" t="s">
        <v>63</v>
      </c>
      <c r="AO249" s="13" t="s">
        <v>1228</v>
      </c>
      <c r="AP249" s="13" t="e">
        <v>#N/A</v>
      </c>
      <c r="AQ249" s="21" t="s">
        <v>64</v>
      </c>
      <c r="AR249" s="26">
        <v>37895</v>
      </c>
      <c r="AS249" s="26">
        <v>46006</v>
      </c>
      <c r="AT249" s="25">
        <v>8113</v>
      </c>
      <c r="AU249" s="25" t="s">
        <v>66</v>
      </c>
      <c r="AV249" s="25" t="s">
        <v>65</v>
      </c>
      <c r="AW249" s="25" t="s">
        <v>66</v>
      </c>
      <c r="AX249" s="24"/>
    </row>
    <row r="250" spans="1:50" ht="16.5" customHeight="1">
      <c r="A250" s="36" t="s">
        <v>1232</v>
      </c>
      <c r="B250" s="28" t="s">
        <v>68</v>
      </c>
      <c r="C250" s="28" t="s">
        <v>86</v>
      </c>
      <c r="D250" s="28"/>
      <c r="E250" s="28" t="s">
        <v>70</v>
      </c>
      <c r="F250" s="28">
        <v>400</v>
      </c>
      <c r="G250" s="28">
        <v>3</v>
      </c>
      <c r="H250" s="28" t="str">
        <f>IF(ISNUMBER(Table810[[#This Row],[Total Capacity]]),"USBR Enterprise Asset Registry",IF(Table810[[#This Row],[Total Capacity]]="",""))</f>
        <v>USBR Enterprise Asset Registry</v>
      </c>
      <c r="I250" s="28" t="s">
        <v>257</v>
      </c>
      <c r="J250" s="28" t="s">
        <v>72</v>
      </c>
      <c r="K250" s="28"/>
      <c r="L250" s="50">
        <v>22501</v>
      </c>
      <c r="M250" s="48"/>
      <c r="N250" s="50">
        <v>22501</v>
      </c>
      <c r="O250" s="28"/>
      <c r="P250" s="37"/>
      <c r="Q250" s="28">
        <f>IF(OR(Table810[[#This Row],[Post-Review Decision]]="Include", Table810[[#This Row],[Post-Review Decision]]="Include if possible", Table810[[#This Row],[Post-Review Decision]]="Include (Omit % Avg if needed)",  Table810[[#This Row],[Post-Review Decision]]="Include (Omit % Avg)"),Table810[[#This Row],[EAR Total Capacity]],"")</f>
        <v>22510</v>
      </c>
      <c r="R250" s="28">
        <v>20010</v>
      </c>
      <c r="S250" s="46">
        <v>22501</v>
      </c>
      <c r="T250" s="28" t="s">
        <v>1232</v>
      </c>
      <c r="U250" s="28" t="s">
        <v>1233</v>
      </c>
      <c r="V250" s="13" t="s">
        <v>465</v>
      </c>
      <c r="W250" s="12" t="b">
        <f>ISNUMBER(Table810[[#This Row],[EAR Total Capacity]])</f>
        <v>1</v>
      </c>
      <c r="X250" s="12" t="b">
        <f>IF(Table810[[#This Row],[Has  Storage for Full Averaging Period?]]="OK",TRUE,FALSE)</f>
        <v>1</v>
      </c>
      <c r="Y250" s="12" t="b">
        <f>IFERROR(IF(YEAR(Table810[[#This Row],[RISE Storage End Date]])=2025,TRUE,FALSE),FALSE)</f>
        <v>1</v>
      </c>
      <c r="Z250" s="11" t="b">
        <v>0</v>
      </c>
      <c r="AA250" s="13">
        <v>253</v>
      </c>
      <c r="AB250" s="13" t="s">
        <v>76</v>
      </c>
      <c r="AC250" s="13" t="s">
        <v>1234</v>
      </c>
      <c r="AD250" s="13" t="s">
        <v>1232</v>
      </c>
      <c r="AE250" s="13" t="s">
        <v>78</v>
      </c>
      <c r="AF250" s="13" t="s">
        <v>1235</v>
      </c>
      <c r="AG250" s="13" t="s">
        <v>91</v>
      </c>
      <c r="AH250" s="13" t="s">
        <v>102</v>
      </c>
      <c r="AI250" s="13" t="s">
        <v>93</v>
      </c>
      <c r="AJ250" s="14">
        <v>22510</v>
      </c>
      <c r="AK250" s="18"/>
      <c r="AL250" s="18"/>
      <c r="AM250" s="13" t="s">
        <v>1236</v>
      </c>
      <c r="AN250" s="13" t="s">
        <v>63</v>
      </c>
      <c r="AO250" s="13" t="s">
        <v>1232</v>
      </c>
      <c r="AP250" s="13" t="s">
        <v>1232</v>
      </c>
      <c r="AQ250" s="21" t="s">
        <v>64</v>
      </c>
      <c r="AR250" s="26">
        <v>30254</v>
      </c>
      <c r="AS250" s="26">
        <v>46007</v>
      </c>
      <c r="AT250" s="25">
        <v>15755</v>
      </c>
      <c r="AU250" s="25" t="s">
        <v>65</v>
      </c>
      <c r="AV250" s="25" t="s">
        <v>65</v>
      </c>
      <c r="AW250" s="25" t="s">
        <v>65</v>
      </c>
      <c r="AX250" s="24"/>
    </row>
    <row r="251" spans="1:50" ht="16.5" customHeight="1">
      <c r="A251" s="36" t="s">
        <v>1237</v>
      </c>
      <c r="B251" s="28"/>
      <c r="C251" s="28" t="s">
        <v>97</v>
      </c>
      <c r="D251" s="28"/>
      <c r="E251" s="28"/>
      <c r="F251" s="28" t="s">
        <v>61</v>
      </c>
      <c r="G251" s="28"/>
      <c r="H251" s="28" t="str">
        <f>IF(ISNUMBER(Table810[[#This Row],[Total Capacity]]),"USBR Enterprise Asset Registry",IF(Table810[[#This Row],[Total Capacity]]="",""))</f>
        <v/>
      </c>
      <c r="I251" s="28"/>
      <c r="J251" s="28"/>
      <c r="K251" s="28"/>
      <c r="L251" s="50" t="s">
        <v>98</v>
      </c>
      <c r="M251" s="48"/>
      <c r="N251" s="50" t="s">
        <v>98</v>
      </c>
      <c r="O251" s="28"/>
      <c r="P251" s="37"/>
      <c r="Q251" s="28" t="str">
        <f>IF(OR(Table810[[#This Row],[Post-Review Decision]]="Include", Table810[[#This Row],[Post-Review Decision]]="Include if possible", Table810[[#This Row],[Post-Review Decision]]="Include (Omit % Avg if needed)",  Table810[[#This Row],[Post-Review Decision]]="Include (Omit % Avg)"),Table810[[#This Row],[EAR Total Capacity]],"")</f>
        <v/>
      </c>
      <c r="R251" s="28">
        <v>750</v>
      </c>
      <c r="S251" s="45">
        <v>750</v>
      </c>
      <c r="T251" s="28"/>
      <c r="U251" s="28"/>
      <c r="V251" s="13" t="s">
        <v>156</v>
      </c>
      <c r="W251" s="12" t="b">
        <f>ISNUMBER(Table810[[#This Row],[EAR Total Capacity]])</f>
        <v>1</v>
      </c>
      <c r="X251" s="12" t="b">
        <f>IF(Table810[[#This Row],[Has  Storage for Full Averaging Period?]]="OK",TRUE,FALSE)</f>
        <v>0</v>
      </c>
      <c r="Y251" s="12" t="b">
        <f>IFERROR(IF(YEAR(Table810[[#This Row],[RISE Storage End Date]])=2025,TRUE,FALSE),FALSE)</f>
        <v>0</v>
      </c>
      <c r="Z251" s="11" t="b">
        <v>0</v>
      </c>
      <c r="AA251" s="13">
        <v>255</v>
      </c>
      <c r="AB251" s="13" t="s">
        <v>76</v>
      </c>
      <c r="AC251" s="13" t="s">
        <v>1238</v>
      </c>
      <c r="AD251" s="13" t="s">
        <v>1237</v>
      </c>
      <c r="AE251" s="13" t="s">
        <v>78</v>
      </c>
      <c r="AF251" s="13" t="s">
        <v>1239</v>
      </c>
      <c r="AG251" s="13" t="s">
        <v>159</v>
      </c>
      <c r="AH251" s="13" t="s">
        <v>160</v>
      </c>
      <c r="AI251" s="13" t="s">
        <v>103</v>
      </c>
      <c r="AJ251" s="13">
        <v>2300</v>
      </c>
      <c r="AK251" s="15"/>
      <c r="AL251" s="15"/>
      <c r="AM251" s="15" t="s">
        <v>61</v>
      </c>
      <c r="AN251" s="15" t="s">
        <v>61</v>
      </c>
      <c r="AO251" s="15" t="s">
        <v>61</v>
      </c>
      <c r="AP251" s="15" t="s">
        <v>61</v>
      </c>
      <c r="AQ251" s="21" t="s">
        <v>136</v>
      </c>
      <c r="AR251" s="25"/>
      <c r="AS251" s="25"/>
      <c r="AT251" s="25"/>
      <c r="AU251" s="25"/>
      <c r="AV251" s="25"/>
      <c r="AW251" s="25"/>
      <c r="AX251" s="24"/>
    </row>
    <row r="252" spans="1:50" ht="16.5" customHeight="1">
      <c r="A252" s="36" t="s">
        <v>1240</v>
      </c>
      <c r="B252" s="28"/>
      <c r="C252" s="28" t="s">
        <v>97</v>
      </c>
      <c r="D252" s="28"/>
      <c r="E252" s="28"/>
      <c r="F252" s="28" t="s">
        <v>61</v>
      </c>
      <c r="G252" s="28"/>
      <c r="H252" s="28" t="str">
        <f>IF(ISNUMBER(Table810[[#This Row],[Total Capacity]]),"USBR Enterprise Asset Registry",IF(Table810[[#This Row],[Total Capacity]]="",""))</f>
        <v/>
      </c>
      <c r="I252" s="28"/>
      <c r="J252" s="28"/>
      <c r="K252" s="28"/>
      <c r="L252" s="50" t="s">
        <v>98</v>
      </c>
      <c r="M252" s="48"/>
      <c r="N252" s="50" t="s">
        <v>98</v>
      </c>
      <c r="O252" s="28"/>
      <c r="P252" s="37"/>
      <c r="Q252" s="28" t="str">
        <f>IF(OR(Table810[[#This Row],[Post-Review Decision]]="Include", Table810[[#This Row],[Post-Review Decision]]="Include if possible", Table810[[#This Row],[Post-Review Decision]]="Include (Omit % Avg if needed)",  Table810[[#This Row],[Post-Review Decision]]="Include (Omit % Avg)"),Table810[[#This Row],[EAR Total Capacity]],"")</f>
        <v/>
      </c>
      <c r="R252" s="28"/>
      <c r="S252" s="45">
        <v>0</v>
      </c>
      <c r="T252" s="28"/>
      <c r="U252" s="28"/>
      <c r="V252" s="13" t="s">
        <v>530</v>
      </c>
      <c r="W252" s="12" t="b">
        <f>ISNUMBER(Table810[[#This Row],[EAR Total Capacity]])</f>
        <v>0</v>
      </c>
      <c r="X252" s="12" t="b">
        <f>IF(Table810[[#This Row],[Has  Storage for Full Averaging Period?]]="OK",TRUE,FALSE)</f>
        <v>0</v>
      </c>
      <c r="Y252" s="12" t="b">
        <f>IFERROR(IF(YEAR(Table810[[#This Row],[RISE Storage End Date]])=2025,TRUE,FALSE),FALSE)</f>
        <v>0</v>
      </c>
      <c r="Z252" s="11" t="b">
        <v>0</v>
      </c>
      <c r="AA252" s="13">
        <v>256</v>
      </c>
      <c r="AB252" s="13" t="s">
        <v>76</v>
      </c>
      <c r="AC252" s="13" t="s">
        <v>1241</v>
      </c>
      <c r="AD252" s="13" t="s">
        <v>1240</v>
      </c>
      <c r="AE252" s="13" t="s">
        <v>101</v>
      </c>
      <c r="AF252" s="13" t="s">
        <v>1242</v>
      </c>
      <c r="AG252" s="13" t="s">
        <v>91</v>
      </c>
      <c r="AH252" s="13" t="s">
        <v>102</v>
      </c>
      <c r="AI252" s="13" t="s">
        <v>103</v>
      </c>
      <c r="AJ252" s="13"/>
      <c r="AK252" s="15"/>
      <c r="AL252" s="15"/>
      <c r="AM252" s="15" t="s">
        <v>61</v>
      </c>
      <c r="AN252" s="15" t="s">
        <v>61</v>
      </c>
      <c r="AO252" s="15" t="s">
        <v>61</v>
      </c>
      <c r="AP252" s="15" t="s">
        <v>61</v>
      </c>
      <c r="AQ252" s="22"/>
      <c r="AR252" s="25"/>
      <c r="AS252" s="25"/>
      <c r="AT252" s="25"/>
      <c r="AU252" s="25"/>
      <c r="AV252" s="25"/>
      <c r="AW252" s="25"/>
      <c r="AX252" s="24"/>
    </row>
    <row r="253" spans="1:50" ht="16.5" customHeight="1">
      <c r="A253" s="36" t="s">
        <v>1243</v>
      </c>
      <c r="B253" s="28" t="s">
        <v>68</v>
      </c>
      <c r="C253" s="29" t="s">
        <v>86</v>
      </c>
      <c r="D253" s="29"/>
      <c r="E253" s="28" t="s">
        <v>70</v>
      </c>
      <c r="F253" s="28">
        <v>404</v>
      </c>
      <c r="G253" s="28">
        <v>3</v>
      </c>
      <c r="H253" s="29" t="str">
        <f>IF(ISNUMBER(Table810[[#This Row],[Total Capacity]]),"USBR Enterprise Asset Registry",IF(Table810[[#This Row],[Total Capacity]]="",""))</f>
        <v>USBR Enterprise Asset Registry</v>
      </c>
      <c r="I253" s="28" t="s">
        <v>57</v>
      </c>
      <c r="J253" s="28" t="s">
        <v>127</v>
      </c>
      <c r="K253" s="33">
        <v>50639</v>
      </c>
      <c r="L253" s="50">
        <v>35492</v>
      </c>
      <c r="M253" s="48"/>
      <c r="N253" s="50">
        <v>35492</v>
      </c>
      <c r="O253" s="28"/>
      <c r="P253" s="38" t="s">
        <v>1244</v>
      </c>
      <c r="Q253" s="29">
        <f>IF(OR(Table810[[#This Row],[Post-Review Decision]]="Include", Table810[[#This Row],[Post-Review Decision]]="Include if possible", Table810[[#This Row],[Post-Review Decision]]="Include (Omit % Avg if needed)",  Table810[[#This Row],[Post-Review Decision]]="Include (Omit % Avg)"),Table810[[#This Row],[EAR Total Capacity]],"")</f>
        <v>86131</v>
      </c>
      <c r="R253" s="29">
        <v>74487</v>
      </c>
      <c r="S253" s="46">
        <v>84472</v>
      </c>
      <c r="T253" s="29" t="s">
        <v>1243</v>
      </c>
      <c r="U253" s="29" t="s">
        <v>1245</v>
      </c>
      <c r="V253" s="13" t="s">
        <v>939</v>
      </c>
      <c r="W253" s="12" t="b">
        <f>ISNUMBER(Table810[[#This Row],[EAR Total Capacity]])</f>
        <v>1</v>
      </c>
      <c r="X253" s="12" t="b">
        <f>IF(Table810[[#This Row],[Has  Storage for Full Averaging Period?]]="OK",TRUE,FALSE)</f>
        <v>1</v>
      </c>
      <c r="Y253" s="12" t="b">
        <f>IFERROR(IF(YEAR(Table810[[#This Row],[RISE Storage End Date]])=2025,TRUE,FALSE),FALSE)</f>
        <v>1</v>
      </c>
      <c r="Z253" s="11" t="b">
        <v>0</v>
      </c>
      <c r="AA253" s="13">
        <v>257</v>
      </c>
      <c r="AB253" s="13" t="s">
        <v>76</v>
      </c>
      <c r="AC253" s="13" t="s">
        <v>1246</v>
      </c>
      <c r="AD253" s="13" t="s">
        <v>1243</v>
      </c>
      <c r="AE253" s="13" t="s">
        <v>78</v>
      </c>
      <c r="AF253" s="13" t="s">
        <v>1247</v>
      </c>
      <c r="AG253" s="13" t="s">
        <v>109</v>
      </c>
      <c r="AH253" s="13" t="s">
        <v>92</v>
      </c>
      <c r="AI253" s="13" t="s">
        <v>93</v>
      </c>
      <c r="AJ253" s="14">
        <v>86131</v>
      </c>
      <c r="AK253" s="18"/>
      <c r="AL253" s="18"/>
      <c r="AM253" s="13" t="s">
        <v>1248</v>
      </c>
      <c r="AN253" s="13" t="s">
        <v>95</v>
      </c>
      <c r="AO253" s="13" t="s">
        <v>1243</v>
      </c>
      <c r="AP253" s="13" t="s">
        <v>1243</v>
      </c>
      <c r="AQ253" s="21" t="s">
        <v>64</v>
      </c>
      <c r="AR253" s="26">
        <v>27760</v>
      </c>
      <c r="AS253" s="26">
        <v>46007</v>
      </c>
      <c r="AT253" s="25">
        <v>14671</v>
      </c>
      <c r="AU253" s="25" t="s">
        <v>65</v>
      </c>
      <c r="AV253" s="25" t="s">
        <v>65</v>
      </c>
      <c r="AW253" s="25" t="s">
        <v>65</v>
      </c>
      <c r="AX253" s="24"/>
    </row>
    <row r="254" spans="1:50" ht="16.5" customHeight="1">
      <c r="A254" s="36" t="s">
        <v>1249</v>
      </c>
      <c r="B254" s="28" t="s">
        <v>68</v>
      </c>
      <c r="C254" s="28" t="s">
        <v>69</v>
      </c>
      <c r="D254" s="28"/>
      <c r="E254" s="28" t="s">
        <v>70</v>
      </c>
      <c r="F254" s="28">
        <v>7188</v>
      </c>
      <c r="G254" s="28">
        <v>3</v>
      </c>
      <c r="H254" s="28" t="str">
        <f>IF(ISNUMBER(Table810[[#This Row],[Total Capacity]]),"USBR Enterprise Asset Registry",IF(Table810[[#This Row],[Total Capacity]]="",""))</f>
        <v>USBR Enterprise Asset Registry</v>
      </c>
      <c r="I254" s="28" t="s">
        <v>71</v>
      </c>
      <c r="J254" s="28" t="s">
        <v>72</v>
      </c>
      <c r="K254" s="28"/>
      <c r="L254" s="50">
        <v>159365</v>
      </c>
      <c r="M254" s="48"/>
      <c r="N254" s="50">
        <v>159365</v>
      </c>
      <c r="O254" s="28"/>
      <c r="P254" s="37"/>
      <c r="Q254" s="28">
        <f>IF(OR(Table810[[#This Row],[Post-Review Decision]]="Include", Table810[[#This Row],[Post-Review Decision]]="Include if possible", Table810[[#This Row],[Post-Review Decision]]="Include (Omit % Avg if needed)",  Table810[[#This Row],[Post-Review Decision]]="Include (Omit % Avg)"),Table810[[#This Row],[EAR Total Capacity]],"")</f>
        <v>173043</v>
      </c>
      <c r="R254" s="28">
        <v>159365</v>
      </c>
      <c r="S254" s="46">
        <v>165188</v>
      </c>
      <c r="T254" s="28" t="s">
        <v>1250</v>
      </c>
      <c r="U254" s="28" t="s">
        <v>1251</v>
      </c>
      <c r="V254" s="13" t="s">
        <v>151</v>
      </c>
      <c r="W254" s="12" t="b">
        <f>ISNUMBER(Table810[[#This Row],[EAR Total Capacity]])</f>
        <v>1</v>
      </c>
      <c r="X254" s="12" t="s">
        <v>75</v>
      </c>
      <c r="Y254" s="12" t="b">
        <f>IFERROR(IF(YEAR(Table810[[#This Row],[RISE Storage End Date]])=2025,TRUE,FALSE),FALSE)</f>
        <v>0</v>
      </c>
      <c r="Z254" s="11" t="b">
        <v>0</v>
      </c>
      <c r="AA254" s="13">
        <v>219</v>
      </c>
      <c r="AB254" s="13" t="s">
        <v>76</v>
      </c>
      <c r="AC254" s="13" t="s">
        <v>1252</v>
      </c>
      <c r="AD254" s="13" t="s">
        <v>1249</v>
      </c>
      <c r="AE254" s="13" t="s">
        <v>78</v>
      </c>
      <c r="AF254" s="13" t="s">
        <v>1253</v>
      </c>
      <c r="AG254" s="13" t="s">
        <v>80</v>
      </c>
      <c r="AH254" s="13" t="s">
        <v>81</v>
      </c>
      <c r="AI254" s="13" t="s">
        <v>82</v>
      </c>
      <c r="AJ254" s="19">
        <v>173043</v>
      </c>
      <c r="AK254" s="18"/>
      <c r="AL254" s="18"/>
      <c r="AM254" s="13" t="s">
        <v>1254</v>
      </c>
      <c r="AN254" s="13" t="s">
        <v>84</v>
      </c>
      <c r="AO254" s="13" t="s">
        <v>1249</v>
      </c>
      <c r="AP254" s="13" t="s">
        <v>1255</v>
      </c>
      <c r="AQ254" s="21" t="s">
        <v>64</v>
      </c>
      <c r="AR254" s="25"/>
      <c r="AS254" s="25"/>
      <c r="AT254" s="25"/>
      <c r="AU254" s="25"/>
      <c r="AV254" s="25"/>
      <c r="AW254" s="25"/>
      <c r="AX254" s="24"/>
    </row>
    <row r="255" spans="1:50" ht="16.5" customHeight="1">
      <c r="A255" s="36" t="s">
        <v>1256</v>
      </c>
      <c r="B255" s="28"/>
      <c r="C255" s="28" t="s">
        <v>97</v>
      </c>
      <c r="D255" s="28"/>
      <c r="E255" s="28"/>
      <c r="F255" s="28" t="s">
        <v>61</v>
      </c>
      <c r="G255" s="28"/>
      <c r="H255" s="28" t="str">
        <f>IF(ISNUMBER(Table810[[#This Row],[Total Capacity]]),"USBR Enterprise Asset Registry",IF(Table810[[#This Row],[Total Capacity]]="",""))</f>
        <v/>
      </c>
      <c r="I255" s="28"/>
      <c r="J255" s="28"/>
      <c r="K255" s="28"/>
      <c r="L255" s="50" t="s">
        <v>98</v>
      </c>
      <c r="M255" s="48"/>
      <c r="N255" s="50" t="s">
        <v>98</v>
      </c>
      <c r="O255" s="28"/>
      <c r="P255" s="37"/>
      <c r="Q255" s="28" t="str">
        <f>IF(OR(Table810[[#This Row],[Post-Review Decision]]="Include", Table810[[#This Row],[Post-Review Decision]]="Include if possible", Table810[[#This Row],[Post-Review Decision]]="Include (Omit % Avg if needed)",  Table810[[#This Row],[Post-Review Decision]]="Include (Omit % Avg)"),Table810[[#This Row],[EAR Total Capacity]],"")</f>
        <v/>
      </c>
      <c r="R255" s="28"/>
      <c r="S255" s="45">
        <v>0</v>
      </c>
      <c r="T255" s="28"/>
      <c r="U255" s="28"/>
      <c r="V255" s="13" t="s">
        <v>1257</v>
      </c>
      <c r="W255" s="12" t="b">
        <f>ISNUMBER(Table810[[#This Row],[EAR Total Capacity]])</f>
        <v>0</v>
      </c>
      <c r="X255" s="12" t="b">
        <f>IF(Table810[[#This Row],[Has  Storage for Full Averaging Period?]]="OK",TRUE,FALSE)</f>
        <v>0</v>
      </c>
      <c r="Y255" s="12" t="b">
        <f>IFERROR(IF(YEAR(Table810[[#This Row],[RISE Storage End Date]])=2025,TRUE,FALSE),FALSE)</f>
        <v>0</v>
      </c>
      <c r="Z255" s="11" t="b">
        <v>0</v>
      </c>
      <c r="AA255" s="13">
        <v>258</v>
      </c>
      <c r="AB255" s="13" t="s">
        <v>76</v>
      </c>
      <c r="AC255" s="13" t="s">
        <v>1258</v>
      </c>
      <c r="AD255" s="13" t="s">
        <v>1256</v>
      </c>
      <c r="AE255" s="13" t="s">
        <v>101</v>
      </c>
      <c r="AF255" s="13" t="s">
        <v>1259</v>
      </c>
      <c r="AG255" s="13" t="s">
        <v>109</v>
      </c>
      <c r="AH255" s="13" t="s">
        <v>92</v>
      </c>
      <c r="AI255" s="13" t="s">
        <v>103</v>
      </c>
      <c r="AJ255" s="14"/>
      <c r="AK255" s="15"/>
      <c r="AL255" s="15"/>
      <c r="AM255" s="15" t="s">
        <v>61</v>
      </c>
      <c r="AN255" s="15" t="s">
        <v>61</v>
      </c>
      <c r="AO255" s="15" t="s">
        <v>61</v>
      </c>
      <c r="AP255" s="15" t="s">
        <v>61</v>
      </c>
      <c r="AQ255" s="22"/>
      <c r="AR255" s="25"/>
      <c r="AS255" s="25"/>
      <c r="AT255" s="25"/>
      <c r="AU255" s="25"/>
      <c r="AV255" s="25"/>
      <c r="AW255" s="25"/>
      <c r="AX255" s="24"/>
    </row>
    <row r="256" spans="1:50" ht="16.5" customHeight="1">
      <c r="A256" s="36" t="s">
        <v>1260</v>
      </c>
      <c r="B256" s="33" t="s">
        <v>51</v>
      </c>
      <c r="C256" s="31" t="s">
        <v>52</v>
      </c>
      <c r="D256" s="28" t="s">
        <v>798</v>
      </c>
      <c r="E256" s="28" t="s">
        <v>805</v>
      </c>
      <c r="F256" s="28">
        <v>7189</v>
      </c>
      <c r="G256" s="28" t="s">
        <v>55</v>
      </c>
      <c r="H256" s="28" t="s">
        <v>1261</v>
      </c>
      <c r="I256" s="28" t="s">
        <v>57</v>
      </c>
      <c r="J256" s="28"/>
      <c r="K256" s="28"/>
      <c r="L256" s="50" t="e">
        <v>#VALUE!</v>
      </c>
      <c r="M256" s="50">
        <v>307043</v>
      </c>
      <c r="N256" s="50"/>
      <c r="O256" s="28"/>
      <c r="P256" s="40" t="s">
        <v>1262</v>
      </c>
      <c r="Q256" s="33">
        <v>307043</v>
      </c>
      <c r="R256" s="33"/>
      <c r="S256" s="45" t="s">
        <v>59</v>
      </c>
      <c r="T256" s="33" t="s">
        <v>1260</v>
      </c>
      <c r="U256" s="33" t="s">
        <v>1263</v>
      </c>
      <c r="V256" s="17" t="s">
        <v>61</v>
      </c>
      <c r="W256" s="12" t="b">
        <f>ISNUMBER(Table810[[#This Row],[EAR Total Capacity]])</f>
        <v>0</v>
      </c>
      <c r="X256" s="12" t="b">
        <f>IF(Table810[[#This Row],[Has  Storage for Full Averaging Period?]]="OK",TRUE,FALSE)</f>
        <v>0</v>
      </c>
      <c r="Y256" s="12" t="b">
        <f>IFERROR(IF(YEAR(Table810[[#This Row],[RISE Storage End Date]])=2025,TRUE,FALSE),FALSE)</f>
        <v>0</v>
      </c>
      <c r="Z256" s="11" t="b">
        <v>0</v>
      </c>
      <c r="AA256" s="16" t="s">
        <v>61</v>
      </c>
      <c r="AB256" s="17" t="s">
        <v>61</v>
      </c>
      <c r="AC256" s="17" t="s">
        <v>61</v>
      </c>
      <c r="AD256" s="17" t="s">
        <v>61</v>
      </c>
      <c r="AE256" s="17" t="s">
        <v>61</v>
      </c>
      <c r="AF256" s="17" t="s">
        <v>61</v>
      </c>
      <c r="AG256" s="17" t="s">
        <v>61</v>
      </c>
      <c r="AH256" s="17" t="s">
        <v>61</v>
      </c>
      <c r="AI256" s="17" t="s">
        <v>61</v>
      </c>
      <c r="AJ256" s="17" t="s">
        <v>61</v>
      </c>
      <c r="AK256" s="18"/>
      <c r="AL256" s="18"/>
      <c r="AM256" s="13" t="s">
        <v>1264</v>
      </c>
      <c r="AN256" s="11" t="s">
        <v>84</v>
      </c>
      <c r="AO256" s="11" t="s">
        <v>1260</v>
      </c>
      <c r="AP256" s="11" t="s">
        <v>1260</v>
      </c>
      <c r="AQ256" s="21" t="s">
        <v>64</v>
      </c>
      <c r="AR256" s="25"/>
      <c r="AS256" s="25"/>
      <c r="AT256" s="25"/>
      <c r="AU256" s="25"/>
      <c r="AV256" s="25"/>
      <c r="AW256" s="25"/>
      <c r="AX256" s="23"/>
    </row>
    <row r="257" spans="1:50" ht="16.5" customHeight="1">
      <c r="A257" s="36" t="s">
        <v>1265</v>
      </c>
      <c r="B257" s="28"/>
      <c r="C257" s="28" t="s">
        <v>97</v>
      </c>
      <c r="D257" s="28"/>
      <c r="E257" s="28"/>
      <c r="F257" s="28" t="s">
        <v>61</v>
      </c>
      <c r="G257" s="28"/>
      <c r="H257" s="28" t="str">
        <f>IF(ISNUMBER(Table810[[#This Row],[Total Capacity]]),"USBR Enterprise Asset Registry",IF(Table810[[#This Row],[Total Capacity]]="",""))</f>
        <v/>
      </c>
      <c r="I257" s="28"/>
      <c r="J257" s="28"/>
      <c r="K257" s="28"/>
      <c r="L257" s="50" t="s">
        <v>98</v>
      </c>
      <c r="M257" s="48"/>
      <c r="N257" s="50" t="s">
        <v>98</v>
      </c>
      <c r="O257" s="28"/>
      <c r="P257" s="37"/>
      <c r="Q257" s="28" t="str">
        <f>IF(OR(Table810[[#This Row],[Post-Review Decision]]="Include", Table810[[#This Row],[Post-Review Decision]]="Include if possible", Table810[[#This Row],[Post-Review Decision]]="Include (Omit % Avg if needed)",  Table810[[#This Row],[Post-Review Decision]]="Include (Omit % Avg)"),Table810[[#This Row],[EAR Total Capacity]],"")</f>
        <v/>
      </c>
      <c r="R257" s="28"/>
      <c r="S257" s="45">
        <v>0</v>
      </c>
      <c r="T257" s="28"/>
      <c r="U257" s="28"/>
      <c r="V257" s="13" t="s">
        <v>831</v>
      </c>
      <c r="W257" s="12" t="b">
        <f>ISNUMBER(Table810[[#This Row],[EAR Total Capacity]])</f>
        <v>1</v>
      </c>
      <c r="X257" s="12" t="b">
        <f>IF(Table810[[#This Row],[Has  Storage for Full Averaging Period?]]="OK",TRUE,FALSE)</f>
        <v>0</v>
      </c>
      <c r="Y257" s="12" t="b">
        <f>IFERROR(IF(YEAR(Table810[[#This Row],[RISE Storage End Date]])=2025,TRUE,FALSE),FALSE)</f>
        <v>0</v>
      </c>
      <c r="Z257" s="11" t="b">
        <v>0</v>
      </c>
      <c r="AA257" s="13">
        <v>259</v>
      </c>
      <c r="AB257" s="13" t="s">
        <v>76</v>
      </c>
      <c r="AC257" s="13" t="s">
        <v>1266</v>
      </c>
      <c r="AD257" s="13" t="s">
        <v>1265</v>
      </c>
      <c r="AE257" s="13" t="s">
        <v>78</v>
      </c>
      <c r="AF257" s="13" t="s">
        <v>1267</v>
      </c>
      <c r="AG257" s="13" t="s">
        <v>159</v>
      </c>
      <c r="AH257" s="13" t="s">
        <v>160</v>
      </c>
      <c r="AI257" s="13"/>
      <c r="AJ257" s="14">
        <v>2300</v>
      </c>
      <c r="AK257" s="15"/>
      <c r="AL257" s="15"/>
      <c r="AM257" s="15" t="s">
        <v>61</v>
      </c>
      <c r="AN257" s="15" t="s">
        <v>61</v>
      </c>
      <c r="AO257" s="15" t="s">
        <v>61</v>
      </c>
      <c r="AP257" s="15" t="s">
        <v>61</v>
      </c>
      <c r="AQ257" s="21" t="s">
        <v>136</v>
      </c>
      <c r="AR257" s="25"/>
      <c r="AS257" s="25"/>
      <c r="AT257" s="25"/>
      <c r="AU257" s="25"/>
      <c r="AV257" s="25"/>
      <c r="AW257" s="25"/>
      <c r="AX257" s="24"/>
    </row>
    <row r="258" spans="1:50" ht="16.5" customHeight="1">
      <c r="A258" s="36" t="s">
        <v>1268</v>
      </c>
      <c r="B258" s="28"/>
      <c r="C258" s="28" t="s">
        <v>97</v>
      </c>
      <c r="D258" s="28"/>
      <c r="E258" s="28"/>
      <c r="F258" s="28" t="s">
        <v>61</v>
      </c>
      <c r="G258" s="28"/>
      <c r="H258" s="28" t="str">
        <f>IF(ISNUMBER(Table810[[#This Row],[Total Capacity]]),"USBR Enterprise Asset Registry",IF(Table810[[#This Row],[Total Capacity]]="",""))</f>
        <v/>
      </c>
      <c r="I258" s="28"/>
      <c r="J258" s="28"/>
      <c r="K258" s="28"/>
      <c r="L258" s="50" t="s">
        <v>98</v>
      </c>
      <c r="M258" s="48"/>
      <c r="N258" s="50" t="s">
        <v>98</v>
      </c>
      <c r="O258" s="28"/>
      <c r="P258" s="37"/>
      <c r="Q258" s="28" t="str">
        <f>IF(OR(Table810[[#This Row],[Post-Review Decision]]="Include", Table810[[#This Row],[Post-Review Decision]]="Include if possible", Table810[[#This Row],[Post-Review Decision]]="Include (Omit % Avg if needed)",  Table810[[#This Row],[Post-Review Decision]]="Include (Omit % Avg)"),Table810[[#This Row],[EAR Total Capacity]],"")</f>
        <v/>
      </c>
      <c r="R258" s="28"/>
      <c r="S258" s="45">
        <v>0</v>
      </c>
      <c r="T258" s="28"/>
      <c r="U258" s="28"/>
      <c r="V258" s="13" t="s">
        <v>1269</v>
      </c>
      <c r="W258" s="12" t="b">
        <f>ISNUMBER(Table810[[#This Row],[EAR Total Capacity]])</f>
        <v>0</v>
      </c>
      <c r="X258" s="12" t="b">
        <f>IF(Table810[[#This Row],[Has  Storage for Full Averaging Period?]]="OK",TRUE,FALSE)</f>
        <v>0</v>
      </c>
      <c r="Y258" s="12" t="b">
        <f>IFERROR(IF(YEAR(Table810[[#This Row],[RISE Storage End Date]])=2025,TRUE,FALSE),FALSE)</f>
        <v>0</v>
      </c>
      <c r="Z258" s="11" t="b">
        <v>0</v>
      </c>
      <c r="AA258" s="13">
        <v>854</v>
      </c>
      <c r="AB258" s="13" t="s">
        <v>76</v>
      </c>
      <c r="AC258" s="13" t="s">
        <v>1270</v>
      </c>
      <c r="AD258" s="13" t="s">
        <v>1268</v>
      </c>
      <c r="AE258" s="13" t="s">
        <v>101</v>
      </c>
      <c r="AF258" s="13" t="s">
        <v>1271</v>
      </c>
      <c r="AG258" s="13" t="s">
        <v>91</v>
      </c>
      <c r="AH258" s="13" t="s">
        <v>102</v>
      </c>
      <c r="AI258" s="13"/>
      <c r="AJ258" s="13"/>
      <c r="AK258" s="15"/>
      <c r="AL258" s="15"/>
      <c r="AM258" s="15" t="s">
        <v>61</v>
      </c>
      <c r="AN258" s="15" t="s">
        <v>61</v>
      </c>
      <c r="AO258" s="15" t="s">
        <v>61</v>
      </c>
      <c r="AP258" s="15" t="s">
        <v>61</v>
      </c>
      <c r="AQ258" s="22"/>
      <c r="AR258" s="25"/>
      <c r="AS258" s="25"/>
      <c r="AT258" s="25"/>
      <c r="AU258" s="25"/>
      <c r="AV258" s="25"/>
      <c r="AW258" s="25"/>
      <c r="AX258" s="24"/>
    </row>
    <row r="259" spans="1:50" ht="16.5" customHeight="1">
      <c r="A259" s="36" t="s">
        <v>1272</v>
      </c>
      <c r="B259" s="28"/>
      <c r="C259" s="28" t="s">
        <v>97</v>
      </c>
      <c r="D259" s="28"/>
      <c r="E259" s="28"/>
      <c r="F259" s="28" t="s">
        <v>61</v>
      </c>
      <c r="G259" s="28"/>
      <c r="H259" s="28" t="str">
        <f>IF(ISNUMBER(Table810[[#This Row],[Total Capacity]]),"USBR Enterprise Asset Registry",IF(Table810[[#This Row],[Total Capacity]]="",""))</f>
        <v/>
      </c>
      <c r="I259" s="28"/>
      <c r="J259" s="28"/>
      <c r="K259" s="28"/>
      <c r="L259" s="50" t="s">
        <v>98</v>
      </c>
      <c r="M259" s="48"/>
      <c r="N259" s="50" t="s">
        <v>98</v>
      </c>
      <c r="O259" s="28"/>
      <c r="P259" s="37"/>
      <c r="Q259" s="28" t="str">
        <f>IF(OR(Table810[[#This Row],[Post-Review Decision]]="Include", Table810[[#This Row],[Post-Review Decision]]="Include if possible", Table810[[#This Row],[Post-Review Decision]]="Include (Omit % Avg if needed)",  Table810[[#This Row],[Post-Review Decision]]="Include (Omit % Avg)"),Table810[[#This Row],[EAR Total Capacity]],"")</f>
        <v/>
      </c>
      <c r="R259" s="28"/>
      <c r="S259" s="45">
        <v>600</v>
      </c>
      <c r="T259" s="28"/>
      <c r="U259" s="28"/>
      <c r="V259" s="13" t="s">
        <v>156</v>
      </c>
      <c r="W259" s="12" t="b">
        <f>ISNUMBER(Table810[[#This Row],[EAR Total Capacity]])</f>
        <v>1</v>
      </c>
      <c r="X259" s="12" t="b">
        <f>IF(Table810[[#This Row],[Has  Storage for Full Averaging Period?]]="OK",TRUE,FALSE)</f>
        <v>0</v>
      </c>
      <c r="Y259" s="12" t="b">
        <f>IFERROR(IF(YEAR(Table810[[#This Row],[RISE Storage End Date]])=2025,TRUE,FALSE),FALSE)</f>
        <v>0</v>
      </c>
      <c r="Z259" s="11" t="b">
        <v>0</v>
      </c>
      <c r="AA259" s="13">
        <v>260</v>
      </c>
      <c r="AB259" s="13" t="s">
        <v>76</v>
      </c>
      <c r="AC259" s="13" t="s">
        <v>1273</v>
      </c>
      <c r="AD259" s="13" t="s">
        <v>1272</v>
      </c>
      <c r="AE259" s="13" t="s">
        <v>78</v>
      </c>
      <c r="AF259" s="13" t="s">
        <v>1274</v>
      </c>
      <c r="AG259" s="13" t="s">
        <v>159</v>
      </c>
      <c r="AH259" s="13" t="s">
        <v>160</v>
      </c>
      <c r="AI259" s="13" t="s">
        <v>103</v>
      </c>
      <c r="AJ259" s="14">
        <v>600</v>
      </c>
      <c r="AK259" s="15"/>
      <c r="AL259" s="15"/>
      <c r="AM259" s="15" t="s">
        <v>61</v>
      </c>
      <c r="AN259" s="15" t="s">
        <v>61</v>
      </c>
      <c r="AO259" s="15" t="s">
        <v>61</v>
      </c>
      <c r="AP259" s="15" t="s">
        <v>61</v>
      </c>
      <c r="AQ259" s="21" t="s">
        <v>136</v>
      </c>
      <c r="AR259" s="25"/>
      <c r="AS259" s="25"/>
      <c r="AT259" s="25"/>
      <c r="AU259" s="25"/>
      <c r="AV259" s="25"/>
      <c r="AW259" s="25"/>
      <c r="AX259" s="24"/>
    </row>
    <row r="260" spans="1:50" ht="16.5" customHeight="1">
      <c r="A260" s="36" t="s">
        <v>1275</v>
      </c>
      <c r="B260" s="28"/>
      <c r="C260" s="28" t="s">
        <v>97</v>
      </c>
      <c r="D260" s="28"/>
      <c r="E260" s="28"/>
      <c r="F260" s="28" t="s">
        <v>61</v>
      </c>
      <c r="G260" s="28"/>
      <c r="H260" s="28" t="str">
        <f>IF(ISNUMBER(Table810[[#This Row],[Total Capacity]]),"USBR Enterprise Asset Registry",IF(Table810[[#This Row],[Total Capacity]]="",""))</f>
        <v/>
      </c>
      <c r="I260" s="28"/>
      <c r="J260" s="28"/>
      <c r="K260" s="28"/>
      <c r="L260" s="50" t="s">
        <v>98</v>
      </c>
      <c r="M260" s="48"/>
      <c r="N260" s="50" t="s">
        <v>98</v>
      </c>
      <c r="O260" s="28"/>
      <c r="P260" s="37"/>
      <c r="Q260" s="28" t="str">
        <f>IF(OR(Table810[[#This Row],[Post-Review Decision]]="Include", Table810[[#This Row],[Post-Review Decision]]="Include if possible", Table810[[#This Row],[Post-Review Decision]]="Include (Omit % Avg if needed)",  Table810[[#This Row],[Post-Review Decision]]="Include (Omit % Avg)"),Table810[[#This Row],[EAR Total Capacity]],"")</f>
        <v/>
      </c>
      <c r="R260" s="28"/>
      <c r="S260" s="45">
        <v>0</v>
      </c>
      <c r="T260" s="28"/>
      <c r="U260" s="28"/>
      <c r="V260" s="13" t="s">
        <v>1083</v>
      </c>
      <c r="W260" s="12" t="b">
        <f>ISNUMBER(Table810[[#This Row],[EAR Total Capacity]])</f>
        <v>0</v>
      </c>
      <c r="X260" s="12" t="b">
        <f>IF(Table810[[#This Row],[Has  Storage for Full Averaging Period?]]="OK",TRUE,FALSE)</f>
        <v>0</v>
      </c>
      <c r="Y260" s="12" t="b">
        <f>IFERROR(IF(YEAR(Table810[[#This Row],[RISE Storage End Date]])=2025,TRUE,FALSE),FALSE)</f>
        <v>0</v>
      </c>
      <c r="Z260" s="11" t="b">
        <v>0</v>
      </c>
      <c r="AA260" s="13">
        <v>261</v>
      </c>
      <c r="AB260" s="13" t="s">
        <v>76</v>
      </c>
      <c r="AC260" s="13" t="s">
        <v>1276</v>
      </c>
      <c r="AD260" s="13" t="s">
        <v>1275</v>
      </c>
      <c r="AE260" s="13" t="s">
        <v>101</v>
      </c>
      <c r="AF260" s="13" t="s">
        <v>1277</v>
      </c>
      <c r="AG260" s="13" t="s">
        <v>91</v>
      </c>
      <c r="AH260" s="13" t="s">
        <v>102</v>
      </c>
      <c r="AI260" s="13" t="s">
        <v>103</v>
      </c>
      <c r="AJ260" s="14"/>
      <c r="AK260" s="15"/>
      <c r="AL260" s="15"/>
      <c r="AM260" s="15" t="s">
        <v>61</v>
      </c>
      <c r="AN260" s="15" t="s">
        <v>61</v>
      </c>
      <c r="AO260" s="15" t="s">
        <v>61</v>
      </c>
      <c r="AP260" s="15" t="s">
        <v>61</v>
      </c>
      <c r="AQ260" s="22"/>
      <c r="AR260" s="25"/>
      <c r="AS260" s="25"/>
      <c r="AT260" s="25"/>
      <c r="AU260" s="25"/>
      <c r="AV260" s="25"/>
      <c r="AW260" s="25"/>
      <c r="AX260" s="24"/>
    </row>
    <row r="261" spans="1:50" ht="16.5" customHeight="1">
      <c r="A261" s="36" t="s">
        <v>1278</v>
      </c>
      <c r="B261" s="28" t="s">
        <v>68</v>
      </c>
      <c r="C261" s="28" t="s">
        <v>69</v>
      </c>
      <c r="D261" s="28"/>
      <c r="E261" s="28" t="s">
        <v>70</v>
      </c>
      <c r="F261" s="28">
        <v>7198</v>
      </c>
      <c r="G261" s="28">
        <v>3</v>
      </c>
      <c r="H261" s="28" t="str">
        <f>IF(ISNUMBER(Table810[[#This Row],[Total Capacity]]),"USBR Enterprise Asset Registry",IF(Table810[[#This Row],[Total Capacity]]="",""))</f>
        <v>USBR Enterprise Asset Registry</v>
      </c>
      <c r="I261" s="28" t="s">
        <v>71</v>
      </c>
      <c r="J261" s="33"/>
      <c r="K261" s="28"/>
      <c r="L261" s="50">
        <v>2440</v>
      </c>
      <c r="M261" s="48"/>
      <c r="N261" s="50">
        <v>2440</v>
      </c>
      <c r="O261" s="28"/>
      <c r="P261" s="37"/>
      <c r="Q261" s="28">
        <f>IF(OR(Table810[[#This Row],[Post-Review Decision]]="Include", Table810[[#This Row],[Post-Review Decision]]="Include if possible", Table810[[#This Row],[Post-Review Decision]]="Include (Omit % Avg if needed)",  Table810[[#This Row],[Post-Review Decision]]="Include (Omit % Avg)"),Table810[[#This Row],[EAR Total Capacity]],"")</f>
        <v>2440</v>
      </c>
      <c r="R261" s="28">
        <v>2440</v>
      </c>
      <c r="S261" s="45">
        <v>0</v>
      </c>
      <c r="T261" s="28" t="s">
        <v>1279</v>
      </c>
      <c r="U261" s="28" t="s">
        <v>1280</v>
      </c>
      <c r="V261" s="13" t="s">
        <v>1170</v>
      </c>
      <c r="W261" s="12" t="b">
        <f>ISNUMBER(Table810[[#This Row],[EAR Total Capacity]])</f>
        <v>1</v>
      </c>
      <c r="X261" s="12" t="s">
        <v>75</v>
      </c>
      <c r="Y261" s="12" t="b">
        <f>IFERROR(IF(YEAR(Table810[[#This Row],[RISE Storage End Date]])=2025,TRUE,FALSE),FALSE)</f>
        <v>0</v>
      </c>
      <c r="Z261" s="11" t="b">
        <v>0</v>
      </c>
      <c r="AA261" s="13">
        <v>263</v>
      </c>
      <c r="AB261" s="13" t="s">
        <v>76</v>
      </c>
      <c r="AC261" s="13" t="s">
        <v>1281</v>
      </c>
      <c r="AD261" s="13" t="s">
        <v>1278</v>
      </c>
      <c r="AE261" s="13" t="s">
        <v>78</v>
      </c>
      <c r="AF261" s="13" t="s">
        <v>1282</v>
      </c>
      <c r="AG261" s="13" t="s">
        <v>80</v>
      </c>
      <c r="AH261" s="13" t="s">
        <v>81</v>
      </c>
      <c r="AI261" s="13" t="s">
        <v>82</v>
      </c>
      <c r="AJ261" s="19">
        <v>2440</v>
      </c>
      <c r="AK261" s="18"/>
      <c r="AL261" s="18"/>
      <c r="AM261" s="13" t="s">
        <v>1283</v>
      </c>
      <c r="AN261" s="13" t="s">
        <v>84</v>
      </c>
      <c r="AO261" s="13" t="s">
        <v>1278</v>
      </c>
      <c r="AP261" s="13" t="s">
        <v>1284</v>
      </c>
      <c r="AQ261" s="21" t="s">
        <v>64</v>
      </c>
      <c r="AR261" s="25"/>
      <c r="AS261" s="25"/>
      <c r="AT261" s="25"/>
      <c r="AU261" s="25"/>
      <c r="AV261" s="25"/>
      <c r="AW261" s="25"/>
      <c r="AX261" s="24"/>
    </row>
    <row r="262" spans="1:50" ht="16.5" customHeight="1">
      <c r="A262" s="36" t="s">
        <v>1285</v>
      </c>
      <c r="B262" s="28" t="s">
        <v>68</v>
      </c>
      <c r="C262" s="28" t="s">
        <v>69</v>
      </c>
      <c r="D262" s="28"/>
      <c r="E262" s="28" t="s">
        <v>70</v>
      </c>
      <c r="F262" s="28">
        <v>3663</v>
      </c>
      <c r="G262" s="28">
        <v>3</v>
      </c>
      <c r="H262" s="28" t="str">
        <f>IF(ISNUMBER(Table810[[#This Row],[Total Capacity]]),"USBR Enterprise Asset Registry",IF(Table810[[#This Row],[Total Capacity]]="",""))</f>
        <v>USBR Enterprise Asset Registry</v>
      </c>
      <c r="I262" s="28" t="s">
        <v>71</v>
      </c>
      <c r="J262" s="28" t="s">
        <v>72</v>
      </c>
      <c r="K262" s="28"/>
      <c r="L262" s="50">
        <v>10917</v>
      </c>
      <c r="M262" s="48"/>
      <c r="N262" s="50">
        <v>10917</v>
      </c>
      <c r="O262" s="28"/>
      <c r="P262" s="37"/>
      <c r="Q262" s="28">
        <f>IF(OR(Table810[[#This Row],[Post-Review Decision]]="Include", Table810[[#This Row],[Post-Review Decision]]="Include if possible", Table810[[#This Row],[Post-Review Decision]]="Include (Omit % Avg if needed)",  Table810[[#This Row],[Post-Review Decision]]="Include (Omit % Avg)"),Table810[[#This Row],[EAR Total Capacity]],"")</f>
        <v>12536</v>
      </c>
      <c r="R262" s="28">
        <v>10917</v>
      </c>
      <c r="S262" s="46">
        <v>11141</v>
      </c>
      <c r="T262" s="28" t="s">
        <v>1285</v>
      </c>
      <c r="U262" s="28" t="s">
        <v>1286</v>
      </c>
      <c r="V262" s="13" t="s">
        <v>1287</v>
      </c>
      <c r="W262" s="12" t="b">
        <f>ISNUMBER(Table810[[#This Row],[EAR Total Capacity]])</f>
        <v>1</v>
      </c>
      <c r="X262" s="12" t="s">
        <v>75</v>
      </c>
      <c r="Y262" s="12" t="b">
        <f>IFERROR(IF(YEAR(Table810[[#This Row],[RISE Storage End Date]])=2025,TRUE,FALSE),FALSE)</f>
        <v>0</v>
      </c>
      <c r="Z262" s="11" t="b">
        <v>0</v>
      </c>
      <c r="AA262" s="13">
        <v>262</v>
      </c>
      <c r="AB262" s="13" t="s">
        <v>76</v>
      </c>
      <c r="AC262" s="13" t="s">
        <v>1288</v>
      </c>
      <c r="AD262" s="13" t="s">
        <v>1285</v>
      </c>
      <c r="AE262" s="13" t="s">
        <v>78</v>
      </c>
      <c r="AF262" s="13" t="s">
        <v>1289</v>
      </c>
      <c r="AG262" s="13" t="s">
        <v>80</v>
      </c>
      <c r="AH262" s="13" t="s">
        <v>81</v>
      </c>
      <c r="AI262" s="13" t="s">
        <v>93</v>
      </c>
      <c r="AJ262" s="19">
        <v>12536</v>
      </c>
      <c r="AK262" s="18"/>
      <c r="AL262" s="18"/>
      <c r="AM262" s="13" t="s">
        <v>1290</v>
      </c>
      <c r="AN262" s="13" t="s">
        <v>84</v>
      </c>
      <c r="AO262" s="13" t="s">
        <v>1285</v>
      </c>
      <c r="AP262" s="13" t="s">
        <v>1285</v>
      </c>
      <c r="AQ262" s="21" t="s">
        <v>64</v>
      </c>
      <c r="AR262" s="25"/>
      <c r="AS262" s="25"/>
      <c r="AT262" s="25"/>
      <c r="AU262" s="25"/>
      <c r="AV262" s="25"/>
      <c r="AW262" s="25"/>
      <c r="AX262" s="24"/>
    </row>
    <row r="263" spans="1:50" ht="16.5" customHeight="1">
      <c r="A263" s="36" t="s">
        <v>1291</v>
      </c>
      <c r="B263" s="28"/>
      <c r="C263" s="28" t="s">
        <v>97</v>
      </c>
      <c r="D263" s="28"/>
      <c r="E263" s="28"/>
      <c r="F263" s="28" t="s">
        <v>61</v>
      </c>
      <c r="G263" s="28"/>
      <c r="H263" s="28" t="str">
        <f>IF(ISNUMBER(Table810[[#This Row],[Total Capacity]]),"USBR Enterprise Asset Registry",IF(Table810[[#This Row],[Total Capacity]]="",""))</f>
        <v/>
      </c>
      <c r="I263" s="28"/>
      <c r="J263" s="28"/>
      <c r="K263" s="28"/>
      <c r="L263" s="50" t="s">
        <v>98</v>
      </c>
      <c r="M263" s="48"/>
      <c r="N263" s="50" t="s">
        <v>98</v>
      </c>
      <c r="O263" s="28"/>
      <c r="P263" s="37"/>
      <c r="Q263" s="28" t="str">
        <f>IF(OR(Table810[[#This Row],[Post-Review Decision]]="Include", Table810[[#This Row],[Post-Review Decision]]="Include if possible", Table810[[#This Row],[Post-Review Decision]]="Include (Omit % Avg if needed)",  Table810[[#This Row],[Post-Review Decision]]="Include (Omit % Avg)"),Table810[[#This Row],[EAR Total Capacity]],"")</f>
        <v/>
      </c>
      <c r="R263" s="28"/>
      <c r="S263" s="45">
        <v>0</v>
      </c>
      <c r="T263" s="28"/>
      <c r="U263" s="28"/>
      <c r="V263" s="13" t="s">
        <v>1292</v>
      </c>
      <c r="W263" s="12" t="b">
        <f>ISNUMBER(Table810[[#This Row],[EAR Total Capacity]])</f>
        <v>0</v>
      </c>
      <c r="X263" s="12" t="b">
        <f>IF(Table810[[#This Row],[Has  Storage for Full Averaging Period?]]="OK",TRUE,FALSE)</f>
        <v>0</v>
      </c>
      <c r="Y263" s="12" t="b">
        <f>IFERROR(IF(YEAR(Table810[[#This Row],[RISE Storage End Date]])=2025,TRUE,FALSE),FALSE)</f>
        <v>0</v>
      </c>
      <c r="Z263" s="11" t="b">
        <v>0</v>
      </c>
      <c r="AA263" s="13">
        <v>264</v>
      </c>
      <c r="AB263" s="13" t="s">
        <v>76</v>
      </c>
      <c r="AC263" s="13" t="s">
        <v>1293</v>
      </c>
      <c r="AD263" s="13" t="s">
        <v>1291</v>
      </c>
      <c r="AE263" s="13" t="s">
        <v>101</v>
      </c>
      <c r="AF263" s="13" t="s">
        <v>1294</v>
      </c>
      <c r="AG263" s="13" t="s">
        <v>159</v>
      </c>
      <c r="AH263" s="13" t="s">
        <v>160</v>
      </c>
      <c r="AI263" s="13" t="s">
        <v>103</v>
      </c>
      <c r="AJ263" s="14"/>
      <c r="AK263" s="15"/>
      <c r="AL263" s="15"/>
      <c r="AM263" s="15" t="s">
        <v>61</v>
      </c>
      <c r="AN263" s="15" t="s">
        <v>61</v>
      </c>
      <c r="AO263" s="15" t="s">
        <v>61</v>
      </c>
      <c r="AP263" s="15" t="s">
        <v>61</v>
      </c>
      <c r="AQ263" s="22"/>
      <c r="AR263" s="25"/>
      <c r="AS263" s="25"/>
      <c r="AT263" s="25"/>
      <c r="AU263" s="25"/>
      <c r="AV263" s="25"/>
      <c r="AW263" s="25"/>
      <c r="AX263" s="24"/>
    </row>
    <row r="264" spans="1:50" ht="16.5" customHeight="1">
      <c r="A264" s="36" t="s">
        <v>1295</v>
      </c>
      <c r="B264" s="28"/>
      <c r="C264" s="28" t="s">
        <v>97</v>
      </c>
      <c r="D264" s="28"/>
      <c r="E264" s="28"/>
      <c r="F264" s="28" t="s">
        <v>61</v>
      </c>
      <c r="G264" s="28"/>
      <c r="H264" s="28" t="str">
        <f>IF(ISNUMBER(Table810[[#This Row],[Total Capacity]]),"USBR Enterprise Asset Registry",IF(Table810[[#This Row],[Total Capacity]]="",""))</f>
        <v/>
      </c>
      <c r="I264" s="28"/>
      <c r="J264" s="28"/>
      <c r="K264" s="28"/>
      <c r="L264" s="50" t="s">
        <v>98</v>
      </c>
      <c r="M264" s="48"/>
      <c r="N264" s="50" t="s">
        <v>98</v>
      </c>
      <c r="O264" s="28"/>
      <c r="P264" s="37"/>
      <c r="Q264" s="28" t="str">
        <f>IF(OR(Table810[[#This Row],[Post-Review Decision]]="Include", Table810[[#This Row],[Post-Review Decision]]="Include if possible", Table810[[#This Row],[Post-Review Decision]]="Include (Omit % Avg if needed)",  Table810[[#This Row],[Post-Review Decision]]="Include (Omit % Avg)"),Table810[[#This Row],[EAR Total Capacity]],"")</f>
        <v/>
      </c>
      <c r="R264" s="28">
        <v>260</v>
      </c>
      <c r="S264" s="45">
        <v>265</v>
      </c>
      <c r="T264" s="28"/>
      <c r="U264" s="28"/>
      <c r="V264" s="13" t="s">
        <v>572</v>
      </c>
      <c r="W264" s="12" t="b">
        <f>ISNUMBER(Table810[[#This Row],[EAR Total Capacity]])</f>
        <v>1</v>
      </c>
      <c r="X264" s="12" t="b">
        <f>IF(Table810[[#This Row],[Has  Storage for Full Averaging Period?]]="OK",TRUE,FALSE)</f>
        <v>0</v>
      </c>
      <c r="Y264" s="12" t="b">
        <f>IFERROR(IF(YEAR(Table810[[#This Row],[RISE Storage End Date]])=2025,TRUE,FALSE),FALSE)</f>
        <v>0</v>
      </c>
      <c r="Z264" s="11" t="b">
        <v>0</v>
      </c>
      <c r="AA264" s="13">
        <v>265</v>
      </c>
      <c r="AB264" s="13" t="s">
        <v>76</v>
      </c>
      <c r="AC264" s="13" t="s">
        <v>1296</v>
      </c>
      <c r="AD264" s="13" t="s">
        <v>1295</v>
      </c>
      <c r="AE264" s="13" t="s">
        <v>78</v>
      </c>
      <c r="AF264" s="13" t="s">
        <v>1297</v>
      </c>
      <c r="AG264" s="13" t="s">
        <v>159</v>
      </c>
      <c r="AH264" s="13" t="s">
        <v>160</v>
      </c>
      <c r="AI264" s="13" t="s">
        <v>110</v>
      </c>
      <c r="AJ264" s="14">
        <v>268</v>
      </c>
      <c r="AK264" s="15"/>
      <c r="AL264" s="15"/>
      <c r="AM264" s="15" t="s">
        <v>61</v>
      </c>
      <c r="AN264" s="15" t="s">
        <v>61</v>
      </c>
      <c r="AO264" s="15" t="s">
        <v>61</v>
      </c>
      <c r="AP264" s="15" t="s">
        <v>61</v>
      </c>
      <c r="AQ264" s="21" t="s">
        <v>136</v>
      </c>
      <c r="AR264" s="25"/>
      <c r="AS264" s="25"/>
      <c r="AT264" s="25"/>
      <c r="AU264" s="25"/>
      <c r="AV264" s="25"/>
      <c r="AW264" s="25"/>
      <c r="AX264" s="24"/>
    </row>
    <row r="265" spans="1:50" ht="16.5" customHeight="1">
      <c r="A265" s="36" t="s">
        <v>1298</v>
      </c>
      <c r="B265" s="28" t="s">
        <v>68</v>
      </c>
      <c r="C265" s="29" t="s">
        <v>86</v>
      </c>
      <c r="D265" s="29"/>
      <c r="E265" s="28" t="s">
        <v>70</v>
      </c>
      <c r="F265" s="28">
        <v>1</v>
      </c>
      <c r="G265" s="28">
        <v>3</v>
      </c>
      <c r="H265" s="29" t="str">
        <f>IF(ISNUMBER(Table810[[#This Row],[Total Capacity]]),"USBR Enterprise Asset Registry",IF(Table810[[#This Row],[Total Capacity]]="",""))</f>
        <v>USBR Enterprise Asset Registry</v>
      </c>
      <c r="I265" s="28" t="s">
        <v>57</v>
      </c>
      <c r="J265" s="28" t="s">
        <v>72</v>
      </c>
      <c r="K265" s="28"/>
      <c r="L265" s="50">
        <v>927</v>
      </c>
      <c r="M265" s="48"/>
      <c r="N265" s="50">
        <v>927</v>
      </c>
      <c r="O265" s="28"/>
      <c r="P265" s="38" t="s">
        <v>741</v>
      </c>
      <c r="Q265" s="29">
        <f>IF(OR(Table810[[#This Row],[Post-Review Decision]]="Include", Table810[[#This Row],[Post-Review Decision]]="Include if possible", Table810[[#This Row],[Post-Review Decision]]="Include (Omit % Avg if needed)",  Table810[[#This Row],[Post-Review Decision]]="Include (Omit % Avg)"),Table810[[#This Row],[EAR Total Capacity]],"")</f>
        <v>927</v>
      </c>
      <c r="R265" s="29">
        <v>547</v>
      </c>
      <c r="S265" s="45">
        <v>885</v>
      </c>
      <c r="T265" s="29" t="s">
        <v>1299</v>
      </c>
      <c r="U265" s="29" t="s">
        <v>1299</v>
      </c>
      <c r="V265" s="13" t="s">
        <v>264</v>
      </c>
      <c r="W265" s="12" t="b">
        <f>ISNUMBER(Table810[[#This Row],[EAR Total Capacity]])</f>
        <v>1</v>
      </c>
      <c r="X265" s="12" t="b">
        <f>IF(Table810[[#This Row],[Has  Storage for Full Averaging Period?]]="OK",TRUE,FALSE)</f>
        <v>1</v>
      </c>
      <c r="Y265" s="12" t="b">
        <f>IFERROR(IF(YEAR(Table810[[#This Row],[RISE Storage End Date]])=2025,TRUE,FALSE),FALSE)</f>
        <v>1</v>
      </c>
      <c r="Z265" s="11" t="b">
        <v>0</v>
      </c>
      <c r="AA265" s="13">
        <v>266</v>
      </c>
      <c r="AB265" s="13" t="s">
        <v>76</v>
      </c>
      <c r="AC265" s="13" t="s">
        <v>1300</v>
      </c>
      <c r="AD265" s="13" t="s">
        <v>1298</v>
      </c>
      <c r="AE265" s="13" t="s">
        <v>78</v>
      </c>
      <c r="AF265" s="13" t="s">
        <v>1301</v>
      </c>
      <c r="AG265" s="13" t="s">
        <v>91</v>
      </c>
      <c r="AH265" s="13" t="s">
        <v>92</v>
      </c>
      <c r="AI265" s="13" t="s">
        <v>110</v>
      </c>
      <c r="AJ265" s="14">
        <v>927</v>
      </c>
      <c r="AK265" s="18"/>
      <c r="AL265" s="18"/>
      <c r="AM265" s="13" t="s">
        <v>1300</v>
      </c>
      <c r="AN265" s="13" t="s">
        <v>95</v>
      </c>
      <c r="AO265" s="13" t="s">
        <v>1298</v>
      </c>
      <c r="AP265" s="13" t="e">
        <v>#N/A</v>
      </c>
      <c r="AQ265" s="21" t="s">
        <v>64</v>
      </c>
      <c r="AR265" s="26">
        <v>31533</v>
      </c>
      <c r="AS265" s="26">
        <v>46007</v>
      </c>
      <c r="AT265" s="25">
        <v>12033</v>
      </c>
      <c r="AU265" s="25" t="s">
        <v>65</v>
      </c>
      <c r="AV265" s="25" t="s">
        <v>65</v>
      </c>
      <c r="AW265" s="25" t="s">
        <v>65</v>
      </c>
      <c r="AX265" s="24"/>
    </row>
    <row r="266" spans="1:50" ht="16.5" customHeight="1">
      <c r="A266" s="36" t="s">
        <v>1302</v>
      </c>
      <c r="B266" s="28" t="s">
        <v>68</v>
      </c>
      <c r="C266" s="28" t="s">
        <v>69</v>
      </c>
      <c r="D266" s="28"/>
      <c r="E266" s="28" t="s">
        <v>70</v>
      </c>
      <c r="F266" s="28">
        <v>7195</v>
      </c>
      <c r="G266" s="28">
        <v>3</v>
      </c>
      <c r="H266" s="28" t="str">
        <f>IF(ISNUMBER(Table810[[#This Row],[Total Capacity]]),"USBR Enterprise Asset Registry",IF(Table810[[#This Row],[Total Capacity]]="",""))</f>
        <v>USBR Enterprise Asset Registry</v>
      </c>
      <c r="I266" s="28" t="s">
        <v>71</v>
      </c>
      <c r="J266" s="28" t="s">
        <v>127</v>
      </c>
      <c r="K266" s="28">
        <v>17000</v>
      </c>
      <c r="L266" s="50">
        <v>73500</v>
      </c>
      <c r="M266" s="48"/>
      <c r="N266" s="50">
        <v>73500</v>
      </c>
      <c r="O266" s="28"/>
      <c r="P266" s="37"/>
      <c r="Q266" s="28">
        <f>IF(OR(Table810[[#This Row],[Post-Review Decision]]="Include", Table810[[#This Row],[Post-Review Decision]]="Include if possible", Table810[[#This Row],[Post-Review Decision]]="Include (Omit % Avg if needed)",  Table810[[#This Row],[Post-Review Decision]]="Include (Omit % Avg)"),Table810[[#This Row],[EAR Total Capacity]],"")</f>
        <v>95500</v>
      </c>
      <c r="R266" s="28">
        <v>90500</v>
      </c>
      <c r="S266" s="46">
        <v>91990</v>
      </c>
      <c r="T266" s="28" t="s">
        <v>1302</v>
      </c>
      <c r="U266" s="28" t="s">
        <v>1303</v>
      </c>
      <c r="V266" s="13" t="s">
        <v>1304</v>
      </c>
      <c r="W266" s="12" t="b">
        <f>ISNUMBER(Table810[[#This Row],[EAR Total Capacity]])</f>
        <v>1</v>
      </c>
      <c r="X266" s="12" t="s">
        <v>75</v>
      </c>
      <c r="Y266" s="12" t="b">
        <f>IFERROR(IF(YEAR(Table810[[#This Row],[RISE Storage End Date]])=2025,TRUE,FALSE),FALSE)</f>
        <v>0</v>
      </c>
      <c r="Z266" s="11" t="b">
        <v>0</v>
      </c>
      <c r="AA266" s="13">
        <v>267</v>
      </c>
      <c r="AB266" s="13" t="s">
        <v>76</v>
      </c>
      <c r="AC266" s="13" t="s">
        <v>1305</v>
      </c>
      <c r="AD266" s="13" t="s">
        <v>1302</v>
      </c>
      <c r="AE266" s="13" t="s">
        <v>78</v>
      </c>
      <c r="AF266" s="13" t="s">
        <v>1306</v>
      </c>
      <c r="AG266" s="13" t="s">
        <v>80</v>
      </c>
      <c r="AH266" s="13" t="s">
        <v>81</v>
      </c>
      <c r="AI266" s="13" t="s">
        <v>93</v>
      </c>
      <c r="AJ266" s="19">
        <v>95500</v>
      </c>
      <c r="AK266" s="18"/>
      <c r="AL266" s="18"/>
      <c r="AM266" s="13" t="s">
        <v>1307</v>
      </c>
      <c r="AN266" s="13" t="s">
        <v>84</v>
      </c>
      <c r="AO266" s="13" t="s">
        <v>1308</v>
      </c>
      <c r="AP266" s="13" t="s">
        <v>1302</v>
      </c>
      <c r="AQ266" s="21" t="s">
        <v>64</v>
      </c>
      <c r="AR266" s="25"/>
      <c r="AS266" s="25"/>
      <c r="AT266" s="25"/>
      <c r="AU266" s="25"/>
      <c r="AV266" s="25"/>
      <c r="AW266" s="25"/>
      <c r="AX266" s="24" t="s">
        <v>1309</v>
      </c>
    </row>
    <row r="267" spans="1:50" ht="16.5" customHeight="1">
      <c r="A267" s="36" t="s">
        <v>1310</v>
      </c>
      <c r="B267" s="28"/>
      <c r="C267" s="28" t="s">
        <v>97</v>
      </c>
      <c r="D267" s="28"/>
      <c r="E267" s="28"/>
      <c r="F267" s="28" t="s">
        <v>61</v>
      </c>
      <c r="G267" s="28"/>
      <c r="H267" s="28" t="str">
        <f>IF(ISNUMBER(Table810[[#This Row],[Total Capacity]]),"USBR Enterprise Asset Registry",IF(Table810[[#This Row],[Total Capacity]]="",""))</f>
        <v/>
      </c>
      <c r="I267" s="28"/>
      <c r="J267" s="28"/>
      <c r="K267" s="28"/>
      <c r="L267" s="50" t="s">
        <v>98</v>
      </c>
      <c r="M267" s="48"/>
      <c r="N267" s="50" t="s">
        <v>98</v>
      </c>
      <c r="O267" s="28"/>
      <c r="P267" s="37"/>
      <c r="Q267" s="28" t="str">
        <f>IF(OR(Table810[[#This Row],[Post-Review Decision]]="Include", Table810[[#This Row],[Post-Review Decision]]="Include if possible", Table810[[#This Row],[Post-Review Decision]]="Include (Omit % Avg if needed)",  Table810[[#This Row],[Post-Review Decision]]="Include (Omit % Avg)"),Table810[[#This Row],[EAR Total Capacity]],"")</f>
        <v/>
      </c>
      <c r="R267" s="28"/>
      <c r="S267" s="45">
        <v>0</v>
      </c>
      <c r="T267" s="28"/>
      <c r="U267" s="28"/>
      <c r="V267" s="13" t="s">
        <v>543</v>
      </c>
      <c r="W267" s="12" t="b">
        <f>ISNUMBER(Table810[[#This Row],[EAR Total Capacity]])</f>
        <v>0</v>
      </c>
      <c r="X267" s="12" t="b">
        <f>IF(Table810[[#This Row],[Has  Storage for Full Averaging Period?]]="OK",TRUE,FALSE)</f>
        <v>0</v>
      </c>
      <c r="Y267" s="12" t="b">
        <f>IFERROR(IF(YEAR(Table810[[#This Row],[RISE Storage End Date]])=2025,TRUE,FALSE),FALSE)</f>
        <v>0</v>
      </c>
      <c r="Z267" s="11" t="b">
        <v>0</v>
      </c>
      <c r="AA267" s="13">
        <v>268</v>
      </c>
      <c r="AB267" s="13" t="s">
        <v>76</v>
      </c>
      <c r="AC267" s="13" t="s">
        <v>1311</v>
      </c>
      <c r="AD267" s="13" t="s">
        <v>1310</v>
      </c>
      <c r="AE267" s="13" t="s">
        <v>101</v>
      </c>
      <c r="AF267" s="13" t="s">
        <v>1312</v>
      </c>
      <c r="AG267" s="13" t="s">
        <v>80</v>
      </c>
      <c r="AH267" s="13" t="s">
        <v>81</v>
      </c>
      <c r="AI267" s="13" t="s">
        <v>103</v>
      </c>
      <c r="AJ267" s="14"/>
      <c r="AK267" s="15"/>
      <c r="AL267" s="15"/>
      <c r="AM267" s="15" t="s">
        <v>61</v>
      </c>
      <c r="AN267" s="15" t="s">
        <v>61</v>
      </c>
      <c r="AO267" s="15" t="s">
        <v>61</v>
      </c>
      <c r="AP267" s="15" t="s">
        <v>61</v>
      </c>
      <c r="AQ267" s="22"/>
      <c r="AR267" s="25"/>
      <c r="AS267" s="25"/>
      <c r="AT267" s="25"/>
      <c r="AU267" s="25"/>
      <c r="AV267" s="25"/>
      <c r="AW267" s="25"/>
      <c r="AX267" s="24"/>
    </row>
    <row r="268" spans="1:50" ht="16.5" customHeight="1">
      <c r="A268" s="36" t="s">
        <v>1313</v>
      </c>
      <c r="B268" s="28" t="s">
        <v>68</v>
      </c>
      <c r="C268" s="28" t="s">
        <v>86</v>
      </c>
      <c r="D268" s="28"/>
      <c r="E268" s="28" t="s">
        <v>70</v>
      </c>
      <c r="F268" s="28">
        <v>408</v>
      </c>
      <c r="G268" s="28">
        <v>3</v>
      </c>
      <c r="H268" s="28" t="str">
        <f>IF(ISNUMBER(Table810[[#This Row],[Total Capacity]]),"USBR Enterprise Asset Registry",IF(Table810[[#This Row],[Total Capacity]]="",""))</f>
        <v>USBR Enterprise Asset Registry</v>
      </c>
      <c r="I268" s="28" t="s">
        <v>57</v>
      </c>
      <c r="J268" s="28" t="s">
        <v>127</v>
      </c>
      <c r="K268" s="33">
        <v>82764</v>
      </c>
      <c r="L268" s="50">
        <v>116512</v>
      </c>
      <c r="M268" s="48">
        <v>109015</v>
      </c>
      <c r="N268" s="50">
        <v>109015</v>
      </c>
      <c r="O268" s="28"/>
      <c r="P268" s="37"/>
      <c r="Q268" s="28">
        <f>IF(OR(Table810[[#This Row],[Post-Review Decision]]="Include", Table810[[#This Row],[Post-Review Decision]]="Include if possible", Table810[[#This Row],[Post-Review Decision]]="Include (Omit % Avg if needed)",  Table810[[#This Row],[Post-Review Decision]]="Include (Omit % Avg)"),Table810[[#This Row],[EAR Total Capacity]],"")</f>
        <v>199276</v>
      </c>
      <c r="R268" s="28">
        <v>193328</v>
      </c>
      <c r="S268" s="46">
        <v>198833</v>
      </c>
      <c r="T268" s="28" t="s">
        <v>1313</v>
      </c>
      <c r="U268" s="28" t="s">
        <v>1314</v>
      </c>
      <c r="V268" s="13" t="s">
        <v>1315</v>
      </c>
      <c r="W268" s="12" t="b">
        <f>ISNUMBER(Table810[[#This Row],[EAR Total Capacity]])</f>
        <v>1</v>
      </c>
      <c r="X268" s="12" t="b">
        <f>IF(Table810[[#This Row],[Has  Storage for Full Averaging Period?]]="OK",TRUE,FALSE)</f>
        <v>1</v>
      </c>
      <c r="Y268" s="12" t="b">
        <f>IFERROR(IF(YEAR(Table810[[#This Row],[RISE Storage End Date]])=2025,TRUE,FALSE),FALSE)</f>
        <v>1</v>
      </c>
      <c r="Z268" s="11" t="b">
        <v>0</v>
      </c>
      <c r="AA268" s="13">
        <v>269</v>
      </c>
      <c r="AB268" s="13" t="s">
        <v>76</v>
      </c>
      <c r="AC268" s="13" t="s">
        <v>1316</v>
      </c>
      <c r="AD268" s="13" t="s">
        <v>1313</v>
      </c>
      <c r="AE268" s="13" t="s">
        <v>78</v>
      </c>
      <c r="AF268" s="13" t="s">
        <v>1317</v>
      </c>
      <c r="AG268" s="13" t="s">
        <v>133</v>
      </c>
      <c r="AH268" s="13" t="s">
        <v>92</v>
      </c>
      <c r="AI268" s="13" t="s">
        <v>93</v>
      </c>
      <c r="AJ268" s="14">
        <v>199276</v>
      </c>
      <c r="AK268" s="18"/>
      <c r="AL268" s="18"/>
      <c r="AM268" s="13" t="s">
        <v>1318</v>
      </c>
      <c r="AN268" s="13" t="s">
        <v>135</v>
      </c>
      <c r="AO268" s="13" t="s">
        <v>1319</v>
      </c>
      <c r="AP268" s="13" t="s">
        <v>1319</v>
      </c>
      <c r="AQ268" s="21" t="s">
        <v>64</v>
      </c>
      <c r="AR268" s="26">
        <v>31868</v>
      </c>
      <c r="AS268" s="26">
        <v>46007</v>
      </c>
      <c r="AT268" s="25">
        <v>13848</v>
      </c>
      <c r="AU268" s="25" t="s">
        <v>65</v>
      </c>
      <c r="AV268" s="25" t="s">
        <v>65</v>
      </c>
      <c r="AW268" s="25" t="s">
        <v>65</v>
      </c>
      <c r="AX268" s="24"/>
    </row>
    <row r="269" spans="1:50" ht="16.5" customHeight="1">
      <c r="A269" s="36" t="s">
        <v>1320</v>
      </c>
      <c r="B269" s="28" t="s">
        <v>68</v>
      </c>
      <c r="C269" s="28" t="s">
        <v>69</v>
      </c>
      <c r="D269" s="28"/>
      <c r="E269" s="28" t="s">
        <v>70</v>
      </c>
      <c r="F269" s="28">
        <v>3664</v>
      </c>
      <c r="G269" s="28">
        <v>3</v>
      </c>
      <c r="H269" s="28" t="str">
        <f>IF(ISNUMBER(Table810[[#This Row],[Total Capacity]]),"USBR Enterprise Asset Registry",IF(Table810[[#This Row],[Total Capacity]]="",""))</f>
        <v>USBR Enterprise Asset Registry</v>
      </c>
      <c r="I269" s="28" t="s">
        <v>71</v>
      </c>
      <c r="J269" s="28" t="s">
        <v>127</v>
      </c>
      <c r="K269" s="28">
        <v>6000</v>
      </c>
      <c r="L269" s="50">
        <v>65534</v>
      </c>
      <c r="M269" s="48"/>
      <c r="N269" s="50">
        <v>65534</v>
      </c>
      <c r="O269" s="28"/>
      <c r="P269" s="37"/>
      <c r="Q269" s="28">
        <f>IF(OR(Table810[[#This Row],[Post-Review Decision]]="Include", Table810[[#This Row],[Post-Review Decision]]="Include if possible", Table810[[#This Row],[Post-Review Decision]]="Include (Omit % Avg if needed)",  Table810[[#This Row],[Post-Review Decision]]="Include (Omit % Avg)"),Table810[[#This Row],[EAR Total Capacity]],"")</f>
        <v>71534</v>
      </c>
      <c r="R269" s="28">
        <v>71534</v>
      </c>
      <c r="S269" s="46">
        <v>71534</v>
      </c>
      <c r="T269" s="28" t="s">
        <v>1320</v>
      </c>
      <c r="U269" s="28" t="s">
        <v>1321</v>
      </c>
      <c r="V269" s="13" t="s">
        <v>543</v>
      </c>
      <c r="W269" s="12" t="b">
        <f>ISNUMBER(Table810[[#This Row],[EAR Total Capacity]])</f>
        <v>1</v>
      </c>
      <c r="X269" s="12" t="s">
        <v>75</v>
      </c>
      <c r="Y269" s="12" t="b">
        <f>IFERROR(IF(YEAR(Table810[[#This Row],[RISE Storage End Date]])=2025,TRUE,FALSE),FALSE)</f>
        <v>0</v>
      </c>
      <c r="Z269" s="11" t="b">
        <v>0</v>
      </c>
      <c r="AA269" s="13">
        <v>270</v>
      </c>
      <c r="AB269" s="13" t="s">
        <v>76</v>
      </c>
      <c r="AC269" s="13" t="s">
        <v>1322</v>
      </c>
      <c r="AD269" s="13" t="s">
        <v>1320</v>
      </c>
      <c r="AE269" s="13" t="s">
        <v>78</v>
      </c>
      <c r="AF269" s="13" t="s">
        <v>1323</v>
      </c>
      <c r="AG269" s="13" t="s">
        <v>80</v>
      </c>
      <c r="AH269" s="13" t="s">
        <v>81</v>
      </c>
      <c r="AI269" s="13" t="s">
        <v>93</v>
      </c>
      <c r="AJ269" s="19">
        <v>71534</v>
      </c>
      <c r="AK269" s="18"/>
      <c r="AL269" s="18"/>
      <c r="AM269" s="13" t="s">
        <v>1324</v>
      </c>
      <c r="AN269" s="13" t="s">
        <v>84</v>
      </c>
      <c r="AO269" s="13" t="s">
        <v>1320</v>
      </c>
      <c r="AP269" s="13" t="s">
        <v>1320</v>
      </c>
      <c r="AQ269" s="21" t="s">
        <v>64</v>
      </c>
      <c r="AR269" s="25"/>
      <c r="AS269" s="25"/>
      <c r="AT269" s="25"/>
      <c r="AU269" s="25"/>
      <c r="AV269" s="25"/>
      <c r="AW269" s="25"/>
      <c r="AX269" s="24"/>
    </row>
    <row r="270" spans="1:50" ht="16.5" customHeight="1">
      <c r="A270" s="36" t="s">
        <v>1325</v>
      </c>
      <c r="B270" s="28" t="s">
        <v>68</v>
      </c>
      <c r="C270" s="28" t="s">
        <v>86</v>
      </c>
      <c r="D270" s="28"/>
      <c r="E270" s="28" t="s">
        <v>70</v>
      </c>
      <c r="F270" s="28">
        <v>410</v>
      </c>
      <c r="G270" s="28">
        <v>3</v>
      </c>
      <c r="H270" s="28" t="str">
        <f>IF(ISNUMBER(Table810[[#This Row],[Total Capacity]]),"USBR Enterprise Asset Registry",IF(Table810[[#This Row],[Total Capacity]]="",""))</f>
        <v>USBR Enterprise Asset Registry</v>
      </c>
      <c r="I270" s="28" t="s">
        <v>57</v>
      </c>
      <c r="J270" s="28" t="s">
        <v>72</v>
      </c>
      <c r="K270" s="33"/>
      <c r="L270" s="50">
        <v>381200</v>
      </c>
      <c r="M270" s="48"/>
      <c r="N270" s="50">
        <v>381200</v>
      </c>
      <c r="O270" s="28"/>
      <c r="P270" s="37"/>
      <c r="Q270" s="28">
        <f>IF(OR(Table810[[#This Row],[Post-Review Decision]]="Include", Table810[[#This Row],[Post-Review Decision]]="Include if possible", Table810[[#This Row],[Post-Review Decision]]="Include (Omit % Avg if needed)",  Table810[[#This Row],[Post-Review Decision]]="Include (Omit % Avg)"),Table810[[#This Row],[EAR Total Capacity]],"")</f>
        <v>381200</v>
      </c>
      <c r="R270" s="28">
        <v>229200</v>
      </c>
      <c r="S270" s="46">
        <v>381105</v>
      </c>
      <c r="T270" s="28" t="s">
        <v>1325</v>
      </c>
      <c r="U270" s="28" t="s">
        <v>1326</v>
      </c>
      <c r="V270" s="13" t="s">
        <v>1327</v>
      </c>
      <c r="W270" s="12" t="b">
        <f>ISNUMBER(Table810[[#This Row],[EAR Total Capacity]])</f>
        <v>1</v>
      </c>
      <c r="X270" s="12" t="b">
        <f>IF(Table810[[#This Row],[Has  Storage for Full Averaging Period?]]="OK",TRUE,FALSE)</f>
        <v>1</v>
      </c>
      <c r="Y270" s="12" t="b">
        <f>IFERROR(IF(YEAR(Table810[[#This Row],[RISE Storage End Date]])=2025,TRUE,FALSE),FALSE)</f>
        <v>1</v>
      </c>
      <c r="Z270" s="11" t="b">
        <v>0</v>
      </c>
      <c r="AA270" s="13">
        <v>271</v>
      </c>
      <c r="AB270" s="13" t="s">
        <v>76</v>
      </c>
      <c r="AC270" s="13" t="s">
        <v>1328</v>
      </c>
      <c r="AD270" s="13" t="s">
        <v>1325</v>
      </c>
      <c r="AE270" s="13" t="s">
        <v>78</v>
      </c>
      <c r="AF270" s="13" t="s">
        <v>1329</v>
      </c>
      <c r="AG270" s="13" t="s">
        <v>91</v>
      </c>
      <c r="AH270" s="13" t="s">
        <v>102</v>
      </c>
      <c r="AI270" s="13" t="s">
        <v>93</v>
      </c>
      <c r="AJ270" s="14">
        <v>381200</v>
      </c>
      <c r="AK270" s="18"/>
      <c r="AL270" s="18"/>
      <c r="AM270" s="13" t="s">
        <v>1330</v>
      </c>
      <c r="AN270" s="13" t="s">
        <v>63</v>
      </c>
      <c r="AO270" s="13" t="s">
        <v>1331</v>
      </c>
      <c r="AP270" s="13" t="s">
        <v>1331</v>
      </c>
      <c r="AQ270" s="21" t="s">
        <v>64</v>
      </c>
      <c r="AR270" s="26">
        <v>30761</v>
      </c>
      <c r="AS270" s="26">
        <v>46007</v>
      </c>
      <c r="AT270" s="25">
        <v>15248</v>
      </c>
      <c r="AU270" s="25" t="s">
        <v>65</v>
      </c>
      <c r="AV270" s="25" t="s">
        <v>65</v>
      </c>
      <c r="AW270" s="25" t="s">
        <v>65</v>
      </c>
      <c r="AX270" s="24"/>
    </row>
    <row r="271" spans="1:50" ht="16.5" customHeight="1">
      <c r="A271" s="36" t="s">
        <v>1332</v>
      </c>
      <c r="B271" s="28" t="s">
        <v>68</v>
      </c>
      <c r="C271" s="28" t="s">
        <v>86</v>
      </c>
      <c r="D271" s="28"/>
      <c r="E271" s="28" t="s">
        <v>70</v>
      </c>
      <c r="F271" s="28">
        <v>3514</v>
      </c>
      <c r="G271" s="28">
        <v>3</v>
      </c>
      <c r="H271" s="28" t="str">
        <f>IF(ISNUMBER(Table810[[#This Row],[Total Capacity]]),"USBR Enterprise Asset Registry",IF(Table810[[#This Row],[Total Capacity]]="",""))</f>
        <v>USBR Enterprise Asset Registry</v>
      </c>
      <c r="I271" s="28" t="s">
        <v>257</v>
      </c>
      <c r="J271" s="28" t="s">
        <v>127</v>
      </c>
      <c r="K271" s="33">
        <v>1500000</v>
      </c>
      <c r="L271" s="50">
        <v>24620000</v>
      </c>
      <c r="M271" s="48">
        <v>26120000</v>
      </c>
      <c r="N271" s="50">
        <v>26120000</v>
      </c>
      <c r="O271" s="28"/>
      <c r="P271" s="37"/>
      <c r="Q271" s="28">
        <f>IF(OR(Table810[[#This Row],[Post-Review Decision]]="Include", Table810[[#This Row],[Post-Review Decision]]="Include if possible", Table810[[#This Row],[Post-Review Decision]]="Include (Omit % Avg if needed)",  Table810[[#This Row],[Post-Review Decision]]="Include (Omit % Avg)"),Table810[[#This Row],[EAR Total Capacity]],"")</f>
        <v>30167000</v>
      </c>
      <c r="R271" s="28">
        <v>25614000</v>
      </c>
      <c r="S271" s="46">
        <v>27620000</v>
      </c>
      <c r="T271" s="28" t="s">
        <v>1333</v>
      </c>
      <c r="U271" s="28" t="s">
        <v>1334</v>
      </c>
      <c r="V271" s="13" t="s">
        <v>1335</v>
      </c>
      <c r="W271" s="12" t="b">
        <f>ISNUMBER(Table810[[#This Row],[EAR Total Capacity]])</f>
        <v>1</v>
      </c>
      <c r="X271" s="12" t="b">
        <f>IF(Table810[[#This Row],[Has  Storage for Full Averaging Period?]]="OK",TRUE,FALSE)</f>
        <v>1</v>
      </c>
      <c r="Y271" s="12" t="b">
        <f>IFERROR(IF(YEAR(Table810[[#This Row],[RISE Storage End Date]])=2025,TRUE,FALSE),FALSE)</f>
        <v>1</v>
      </c>
      <c r="Z271" s="11" t="b">
        <v>0</v>
      </c>
      <c r="AA271" s="13">
        <v>220</v>
      </c>
      <c r="AB271" s="13" t="s">
        <v>76</v>
      </c>
      <c r="AC271" s="13" t="s">
        <v>1336</v>
      </c>
      <c r="AD271" s="13" t="s">
        <v>1332</v>
      </c>
      <c r="AE271" s="13" t="s">
        <v>78</v>
      </c>
      <c r="AF271" s="13" t="s">
        <v>1337</v>
      </c>
      <c r="AG271" s="13" t="s">
        <v>179</v>
      </c>
      <c r="AH271" s="13" t="s">
        <v>180</v>
      </c>
      <c r="AI271" s="13" t="s">
        <v>93</v>
      </c>
      <c r="AJ271" s="14">
        <v>30167000</v>
      </c>
      <c r="AK271" s="18"/>
      <c r="AL271" s="18"/>
      <c r="AM271" s="13" t="s">
        <v>1338</v>
      </c>
      <c r="AN271" s="13" t="s">
        <v>183</v>
      </c>
      <c r="AO271" s="13" t="s">
        <v>1332</v>
      </c>
      <c r="AP271" s="13" t="s">
        <v>1339</v>
      </c>
      <c r="AQ271" s="21" t="s">
        <v>64</v>
      </c>
      <c r="AR271" s="26">
        <v>13663</v>
      </c>
      <c r="AS271" s="26">
        <v>46007</v>
      </c>
      <c r="AT271" s="25">
        <v>32346</v>
      </c>
      <c r="AU271" s="25" t="s">
        <v>65</v>
      </c>
      <c r="AV271" s="25" t="s">
        <v>65</v>
      </c>
      <c r="AW271" s="25" t="s">
        <v>65</v>
      </c>
      <c r="AX271" s="24"/>
    </row>
    <row r="272" spans="1:50" ht="16.5" customHeight="1">
      <c r="A272" s="36" t="s">
        <v>1340</v>
      </c>
      <c r="B272" s="28" t="s">
        <v>68</v>
      </c>
      <c r="C272" s="28" t="s">
        <v>86</v>
      </c>
      <c r="D272" s="28"/>
      <c r="E272" s="28" t="s">
        <v>70</v>
      </c>
      <c r="F272" s="28">
        <v>411</v>
      </c>
      <c r="G272" s="28">
        <v>3</v>
      </c>
      <c r="H272" s="28" t="str">
        <f>IF(ISNUMBER(Table810[[#This Row],[Total Capacity]]),"USBR Enterprise Asset Registry",IF(Table810[[#This Row],[Total Capacity]]="",""))</f>
        <v>USBR Enterprise Asset Registry</v>
      </c>
      <c r="I272" s="28" t="s">
        <v>257</v>
      </c>
      <c r="J272" s="28" t="s">
        <v>72</v>
      </c>
      <c r="K272" s="33"/>
      <c r="L272" s="50">
        <v>29870</v>
      </c>
      <c r="M272" s="48"/>
      <c r="N272" s="50">
        <v>29870</v>
      </c>
      <c r="O272" s="28"/>
      <c r="P272" s="37"/>
      <c r="Q272" s="28">
        <f>IF(OR(Table810[[#This Row],[Post-Review Decision]]="Include", Table810[[#This Row],[Post-Review Decision]]="Include if possible", Table810[[#This Row],[Post-Review Decision]]="Include (Omit % Avg if needed)",  Table810[[#This Row],[Post-Review Decision]]="Include (Omit % Avg)"),Table810[[#This Row],[EAR Total Capacity]],"")</f>
        <v>32470</v>
      </c>
      <c r="R272" s="28">
        <v>29480</v>
      </c>
      <c r="S272" s="46">
        <v>29870</v>
      </c>
      <c r="T272" s="28" t="s">
        <v>1340</v>
      </c>
      <c r="U272" s="28" t="s">
        <v>1341</v>
      </c>
      <c r="V272" s="13" t="s">
        <v>1342</v>
      </c>
      <c r="W272" s="12" t="b">
        <f>ISNUMBER(Table810[[#This Row],[EAR Total Capacity]])</f>
        <v>1</v>
      </c>
      <c r="X272" s="12" t="b">
        <f>IF(Table810[[#This Row],[Has  Storage for Full Averaging Period?]]="OK",TRUE,FALSE)</f>
        <v>1</v>
      </c>
      <c r="Y272" s="12" t="b">
        <f>IFERROR(IF(YEAR(Table810[[#This Row],[RISE Storage End Date]])=2025,TRUE,FALSE),FALSE)</f>
        <v>1</v>
      </c>
      <c r="Z272" s="11" t="b">
        <v>0</v>
      </c>
      <c r="AA272" s="13">
        <v>272</v>
      </c>
      <c r="AB272" s="13" t="s">
        <v>76</v>
      </c>
      <c r="AC272" s="13" t="s">
        <v>1343</v>
      </c>
      <c r="AD272" s="13" t="s">
        <v>1340</v>
      </c>
      <c r="AE272" s="13" t="s">
        <v>78</v>
      </c>
      <c r="AF272" s="13" t="s">
        <v>1344</v>
      </c>
      <c r="AG272" s="13" t="s">
        <v>91</v>
      </c>
      <c r="AH272" s="13" t="s">
        <v>102</v>
      </c>
      <c r="AI272" s="13" t="s">
        <v>93</v>
      </c>
      <c r="AJ272" s="14">
        <v>32470</v>
      </c>
      <c r="AK272" s="18"/>
      <c r="AL272" s="18"/>
      <c r="AM272" s="13" t="s">
        <v>1345</v>
      </c>
      <c r="AN272" s="13" t="s">
        <v>63</v>
      </c>
      <c r="AO272" s="13" t="s">
        <v>1340</v>
      </c>
      <c r="AP272" s="13" t="s">
        <v>1340</v>
      </c>
      <c r="AQ272" s="21" t="s">
        <v>64</v>
      </c>
      <c r="AR272" s="26">
        <v>26793</v>
      </c>
      <c r="AS272" s="26">
        <v>46007</v>
      </c>
      <c r="AT272" s="25">
        <v>19216</v>
      </c>
      <c r="AU272" s="25" t="s">
        <v>65</v>
      </c>
      <c r="AV272" s="25" t="s">
        <v>65</v>
      </c>
      <c r="AW272" s="25" t="s">
        <v>65</v>
      </c>
      <c r="AX272" s="24"/>
    </row>
    <row r="273" spans="1:50" ht="16.5" customHeight="1">
      <c r="A273" s="36" t="s">
        <v>1346</v>
      </c>
      <c r="B273" s="28" t="s">
        <v>68</v>
      </c>
      <c r="C273" s="28" t="s">
        <v>52</v>
      </c>
      <c r="D273" s="28" t="s">
        <v>125</v>
      </c>
      <c r="E273" s="28" t="s">
        <v>126</v>
      </c>
      <c r="F273" s="28">
        <v>7302</v>
      </c>
      <c r="G273" s="28">
        <v>3</v>
      </c>
      <c r="H273" s="28" t="str">
        <f>IF(ISNUMBER(Table810[[#This Row],[Total Capacity]]),"USBR Enterprise Asset Registry",IF(Table810[[#This Row],[Total Capacity]]="",""))</f>
        <v>USBR Enterprise Asset Registry</v>
      </c>
      <c r="I273" s="28" t="s">
        <v>57</v>
      </c>
      <c r="J273" s="28" t="s">
        <v>127</v>
      </c>
      <c r="K273" s="33">
        <v>462136</v>
      </c>
      <c r="L273" s="50">
        <v>896458</v>
      </c>
      <c r="M273" s="48"/>
      <c r="N273" s="50">
        <v>896458</v>
      </c>
      <c r="O273" s="28"/>
      <c r="P273" s="37" t="s">
        <v>1347</v>
      </c>
      <c r="Q273" s="28">
        <f>IF(OR(Table810[[#This Row],[Post-Review Decision]]="Include", Table810[[#This Row],[Post-Review Decision]]="Include if possible", Table810[[#This Row],[Post-Review Decision]]="Include (Omit % Avg if needed)",  Table810[[#This Row],[Post-Review Decision]]="Include (Omit % Avg)"),Table810[[#This Row],[EAR Total Capacity]],"")</f>
        <v>1358594</v>
      </c>
      <c r="R273" s="28">
        <v>1285151</v>
      </c>
      <c r="S273" s="46">
        <v>1320180</v>
      </c>
      <c r="T273" s="28" t="s">
        <v>1348</v>
      </c>
      <c r="U273" s="28" t="s">
        <v>1349</v>
      </c>
      <c r="V273" s="13" t="s">
        <v>1350</v>
      </c>
      <c r="W273" s="12" t="b">
        <f>ISNUMBER(Table810[[#This Row],[EAR Total Capacity]])</f>
        <v>1</v>
      </c>
      <c r="X273" s="12" t="b">
        <f>IF(Table810[[#This Row],[Has  Storage for Full Averaging Period?]]="OK",TRUE,FALSE)</f>
        <v>0</v>
      </c>
      <c r="Y273" s="12" t="b">
        <f>IFERROR(IF(YEAR(Table810[[#This Row],[RISE Storage End Date]])=2025,TRUE,FALSE),FALSE)</f>
        <v>0</v>
      </c>
      <c r="Z273" s="11" t="b">
        <v>0</v>
      </c>
      <c r="AA273" s="13">
        <v>221</v>
      </c>
      <c r="AB273" s="13" t="s">
        <v>76</v>
      </c>
      <c r="AC273" s="13" t="s">
        <v>1351</v>
      </c>
      <c r="AD273" s="13" t="s">
        <v>1346</v>
      </c>
      <c r="AE273" s="13" t="s">
        <v>78</v>
      </c>
      <c r="AF273" s="13" t="s">
        <v>1352</v>
      </c>
      <c r="AG273" s="13" t="s">
        <v>133</v>
      </c>
      <c r="AH273" s="13" t="s">
        <v>92</v>
      </c>
      <c r="AI273" s="13" t="s">
        <v>93</v>
      </c>
      <c r="AJ273" s="13">
        <v>1358594</v>
      </c>
      <c r="AK273" s="15">
        <v>-101.55249999999999</v>
      </c>
      <c r="AL273" s="15">
        <v>35.714199999999998</v>
      </c>
      <c r="AM273" s="15" t="s">
        <v>61</v>
      </c>
      <c r="AN273" s="15" t="s">
        <v>61</v>
      </c>
      <c r="AO273" s="15" t="s">
        <v>61</v>
      </c>
      <c r="AP273" s="15" t="s">
        <v>61</v>
      </c>
      <c r="AQ273" s="21" t="s">
        <v>136</v>
      </c>
      <c r="AR273" s="25"/>
      <c r="AS273" s="25"/>
      <c r="AT273" s="25"/>
      <c r="AU273" s="25"/>
      <c r="AV273" s="25"/>
      <c r="AW273" s="25"/>
      <c r="AX273" s="24"/>
    </row>
    <row r="274" spans="1:50" ht="16.5" customHeight="1">
      <c r="A274" s="36" t="s">
        <v>1353</v>
      </c>
      <c r="B274" s="28" t="s">
        <v>68</v>
      </c>
      <c r="C274" s="29" t="s">
        <v>321</v>
      </c>
      <c r="D274" s="29"/>
      <c r="E274" s="28" t="s">
        <v>70</v>
      </c>
      <c r="F274" s="57">
        <v>418</v>
      </c>
      <c r="G274" s="28">
        <v>3</v>
      </c>
      <c r="H274" s="29" t="str">
        <f>IF(ISNUMBER(Table810[[#This Row],[Total Capacity]]),"USBR Enterprise Asset Registry",IF(Table810[[#This Row],[Total Capacity]]="",""))</f>
        <v>USBR Enterprise Asset Registry</v>
      </c>
      <c r="I274" s="28" t="s">
        <v>57</v>
      </c>
      <c r="J274" s="28" t="s">
        <v>72</v>
      </c>
      <c r="K274" s="28"/>
      <c r="L274" s="50">
        <v>66726</v>
      </c>
      <c r="M274" s="48"/>
      <c r="N274" s="50">
        <v>66726</v>
      </c>
      <c r="O274" s="28"/>
      <c r="P274" s="38" t="s">
        <v>1354</v>
      </c>
      <c r="Q274" s="29">
        <f>IF(OR(Table810[[#This Row],[Post-Review Decision]]="Include", Table810[[#This Row],[Post-Review Decision]]="Include if possible", Table810[[#This Row],[Post-Review Decision]]="Include (Omit % Avg if needed)",  Table810[[#This Row],[Post-Review Decision]]="Include (Omit % Avg)"),Table810[[#This Row],[EAR Total Capacity]],"")</f>
        <v>66726</v>
      </c>
      <c r="R274" s="29">
        <v>62064</v>
      </c>
      <c r="S274" s="46">
        <v>65952</v>
      </c>
      <c r="T274" s="29" t="s">
        <v>1353</v>
      </c>
      <c r="U274" s="29" t="s">
        <v>1355</v>
      </c>
      <c r="V274" s="13" t="s">
        <v>1356</v>
      </c>
      <c r="W274" s="12" t="b">
        <f>ISNUMBER(Table810[[#This Row],[EAR Total Capacity]])</f>
        <v>1</v>
      </c>
      <c r="X274" s="12" t="b">
        <f>IF(Table810[[#This Row],[Has  Storage for Full Averaging Period?]]="OK",TRUE,FALSE)</f>
        <v>0</v>
      </c>
      <c r="Y274" s="12" t="b">
        <f>IFERROR(IF(YEAR(Table810[[#This Row],[RISE Storage End Date]])=2025,TRUE,FALSE),FALSE)</f>
        <v>1</v>
      </c>
      <c r="Z274" s="11" t="b">
        <v>0</v>
      </c>
      <c r="AA274" s="13">
        <v>273</v>
      </c>
      <c r="AB274" s="13" t="s">
        <v>76</v>
      </c>
      <c r="AC274" s="13" t="s">
        <v>1357</v>
      </c>
      <c r="AD274" s="13" t="s">
        <v>1353</v>
      </c>
      <c r="AE274" s="13" t="s">
        <v>78</v>
      </c>
      <c r="AF274" s="13" t="s">
        <v>1358</v>
      </c>
      <c r="AG274" s="13" t="s">
        <v>109</v>
      </c>
      <c r="AH274" s="13" t="s">
        <v>92</v>
      </c>
      <c r="AI274" s="13" t="s">
        <v>93</v>
      </c>
      <c r="AJ274" s="14">
        <v>66726</v>
      </c>
      <c r="AK274" s="18"/>
      <c r="AL274" s="18"/>
      <c r="AM274" s="13" t="s">
        <v>1359</v>
      </c>
      <c r="AN274" s="13" t="s">
        <v>95</v>
      </c>
      <c r="AO274" s="13" t="s">
        <v>1353</v>
      </c>
      <c r="AP274" s="13" t="s">
        <v>1353</v>
      </c>
      <c r="AQ274" s="21" t="s">
        <v>64</v>
      </c>
      <c r="AR274" s="26">
        <v>34120</v>
      </c>
      <c r="AS274" s="26">
        <v>46007</v>
      </c>
      <c r="AT274" s="25">
        <v>11307</v>
      </c>
      <c r="AU274" s="25" t="s">
        <v>66</v>
      </c>
      <c r="AV274" s="25" t="s">
        <v>65</v>
      </c>
      <c r="AW274" s="25" t="s">
        <v>66</v>
      </c>
      <c r="AX274" s="24"/>
    </row>
    <row r="275" spans="1:50" ht="16.5" customHeight="1">
      <c r="A275" s="36" t="s">
        <v>1360</v>
      </c>
      <c r="B275" s="32"/>
      <c r="C275" s="32" t="s">
        <v>97</v>
      </c>
      <c r="D275" s="32"/>
      <c r="E275" s="32"/>
      <c r="F275" s="28" t="s">
        <v>61</v>
      </c>
      <c r="G275" s="32"/>
      <c r="H275" s="32" t="str">
        <f>IF(ISNUMBER(Table810[[#This Row],[Total Capacity]]),"USBR Enterprise Asset Registry",IF(Table810[[#This Row],[Total Capacity]]="",""))</f>
        <v/>
      </c>
      <c r="I275" s="32"/>
      <c r="J275" s="32"/>
      <c r="K275" s="32"/>
      <c r="L275" s="53" t="s">
        <v>98</v>
      </c>
      <c r="M275" s="48"/>
      <c r="N275" s="50" t="s">
        <v>98</v>
      </c>
      <c r="O275" s="32"/>
      <c r="P275" s="41"/>
      <c r="Q275" s="32" t="str">
        <f>IF(OR(Table810[[#This Row],[Post-Review Decision]]="Include", Table810[[#This Row],[Post-Review Decision]]="Include if possible", Table810[[#This Row],[Post-Review Decision]]="Include (Omit % Avg if needed)",  Table810[[#This Row],[Post-Review Decision]]="Include (Omit % Avg)"),Table810[[#This Row],[EAR Total Capacity]],"")</f>
        <v/>
      </c>
      <c r="R275" s="32"/>
      <c r="S275" s="45">
        <v>0</v>
      </c>
      <c r="T275" s="32"/>
      <c r="U275" s="32"/>
      <c r="V275" s="13" t="s">
        <v>393</v>
      </c>
      <c r="W275" s="12" t="b">
        <f>ISNUMBER(Table810[[#This Row],[EAR Total Capacity]])</f>
        <v>1</v>
      </c>
      <c r="X275" s="12" t="b">
        <f>IF(Table810[[#This Row],[Has  Storage for Full Averaging Period?]]="OK",TRUE,FALSE)</f>
        <v>0</v>
      </c>
      <c r="Y275" s="12" t="b">
        <f>IFERROR(IF(YEAR(Table810[[#This Row],[RISE Storage End Date]])=2025,TRUE,FALSE),FALSE)</f>
        <v>0</v>
      </c>
      <c r="Z275" s="11" t="b">
        <v>0</v>
      </c>
      <c r="AA275" s="13">
        <v>274</v>
      </c>
      <c r="AB275" s="13" t="s">
        <v>76</v>
      </c>
      <c r="AC275" s="13" t="s">
        <v>1361</v>
      </c>
      <c r="AD275" s="13" t="s">
        <v>1360</v>
      </c>
      <c r="AE275" s="13" t="s">
        <v>78</v>
      </c>
      <c r="AF275" s="13" t="s">
        <v>1362</v>
      </c>
      <c r="AG275" s="13" t="s">
        <v>91</v>
      </c>
      <c r="AH275" s="13" t="s">
        <v>102</v>
      </c>
      <c r="AI275" s="13" t="s">
        <v>103</v>
      </c>
      <c r="AJ275" s="14">
        <v>60</v>
      </c>
      <c r="AK275" s="15"/>
      <c r="AL275" s="15"/>
      <c r="AM275" s="15" t="s">
        <v>61</v>
      </c>
      <c r="AN275" s="15" t="s">
        <v>61</v>
      </c>
      <c r="AO275" s="15" t="s">
        <v>61</v>
      </c>
      <c r="AP275" s="15" t="s">
        <v>61</v>
      </c>
      <c r="AQ275" s="21" t="s">
        <v>136</v>
      </c>
      <c r="AR275" s="25"/>
      <c r="AS275" s="25"/>
      <c r="AT275" s="25"/>
      <c r="AU275" s="25"/>
      <c r="AV275" s="25"/>
      <c r="AW275" s="25"/>
      <c r="AX275" s="24"/>
    </row>
    <row r="276" spans="1:50" ht="16.5" customHeight="1">
      <c r="A276" s="36" t="s">
        <v>1363</v>
      </c>
      <c r="B276" s="28"/>
      <c r="C276" s="28" t="s">
        <v>97</v>
      </c>
      <c r="D276" s="28"/>
      <c r="E276" s="28"/>
      <c r="F276" s="28" t="s">
        <v>61</v>
      </c>
      <c r="G276" s="28"/>
      <c r="H276" s="28" t="str">
        <f>IF(ISNUMBER(Table810[[#This Row],[Total Capacity]]),"USBR Enterprise Asset Registry",IF(Table810[[#This Row],[Total Capacity]]="",""))</f>
        <v/>
      </c>
      <c r="I276" s="28"/>
      <c r="J276" s="28"/>
      <c r="K276" s="28"/>
      <c r="L276" s="50" t="s">
        <v>98</v>
      </c>
      <c r="M276" s="48"/>
      <c r="N276" s="50" t="s">
        <v>98</v>
      </c>
      <c r="O276" s="28"/>
      <c r="P276" s="37"/>
      <c r="Q276" s="28" t="str">
        <f>IF(OR(Table810[[#This Row],[Post-Review Decision]]="Include", Table810[[#This Row],[Post-Review Decision]]="Include if possible", Table810[[#This Row],[Post-Review Decision]]="Include (Omit % Avg if needed)",  Table810[[#This Row],[Post-Review Decision]]="Include (Omit % Avg)"),Table810[[#This Row],[EAR Total Capacity]],"")</f>
        <v/>
      </c>
      <c r="R276" s="28"/>
      <c r="S276" s="45">
        <v>0</v>
      </c>
      <c r="T276" s="28"/>
      <c r="U276" s="28"/>
      <c r="V276" s="13" t="s">
        <v>370</v>
      </c>
      <c r="W276" s="12" t="b">
        <f>ISNUMBER(Table810[[#This Row],[EAR Total Capacity]])</f>
        <v>0</v>
      </c>
      <c r="X276" s="12" t="b">
        <f>IF(Table810[[#This Row],[Has  Storage for Full Averaging Period?]]="OK",TRUE,FALSE)</f>
        <v>0</v>
      </c>
      <c r="Y276" s="12" t="b">
        <f>IFERROR(IF(YEAR(Table810[[#This Row],[RISE Storage End Date]])=2025,TRUE,FALSE),FALSE)</f>
        <v>0</v>
      </c>
      <c r="Z276" s="11" t="b">
        <v>0</v>
      </c>
      <c r="AA276" s="13">
        <v>275</v>
      </c>
      <c r="AB276" s="13" t="s">
        <v>76</v>
      </c>
      <c r="AC276" s="13" t="s">
        <v>1364</v>
      </c>
      <c r="AD276" s="13" t="s">
        <v>1363</v>
      </c>
      <c r="AE276" s="13" t="s">
        <v>78</v>
      </c>
      <c r="AF276" s="13" t="s">
        <v>1365</v>
      </c>
      <c r="AG276" s="13" t="s">
        <v>91</v>
      </c>
      <c r="AH276" s="13" t="s">
        <v>92</v>
      </c>
      <c r="AI276" s="13" t="s">
        <v>110</v>
      </c>
      <c r="AJ276" s="14"/>
      <c r="AK276" s="15"/>
      <c r="AL276" s="15"/>
      <c r="AM276" s="15" t="s">
        <v>61</v>
      </c>
      <c r="AN276" s="15" t="s">
        <v>61</v>
      </c>
      <c r="AO276" s="15" t="s">
        <v>61</v>
      </c>
      <c r="AP276" s="15" t="s">
        <v>61</v>
      </c>
      <c r="AQ276" s="21" t="s">
        <v>136</v>
      </c>
      <c r="AR276" s="25"/>
      <c r="AS276" s="25"/>
      <c r="AT276" s="25"/>
      <c r="AU276" s="25"/>
      <c r="AV276" s="25"/>
      <c r="AW276" s="25"/>
      <c r="AX276" s="24"/>
    </row>
    <row r="277" spans="1:50" ht="16.5" customHeight="1">
      <c r="A277" s="36" t="s">
        <v>1366</v>
      </c>
      <c r="B277" s="28"/>
      <c r="C277" s="28" t="s">
        <v>97</v>
      </c>
      <c r="D277" s="28"/>
      <c r="E277" s="28"/>
      <c r="F277" s="28" t="s">
        <v>61</v>
      </c>
      <c r="G277" s="28"/>
      <c r="H277" s="28" t="str">
        <f>IF(ISNUMBER(Table810[[#This Row],[Total Capacity]]),"USBR Enterprise Asset Registry",IF(Table810[[#This Row],[Total Capacity]]="",""))</f>
        <v/>
      </c>
      <c r="I277" s="28"/>
      <c r="J277" s="28"/>
      <c r="K277" s="28"/>
      <c r="L277" s="50" t="s">
        <v>98</v>
      </c>
      <c r="M277" s="48"/>
      <c r="N277" s="50" t="s">
        <v>98</v>
      </c>
      <c r="O277" s="28"/>
      <c r="P277" s="37"/>
      <c r="Q277" s="28" t="str">
        <f>IF(OR(Table810[[#This Row],[Post-Review Decision]]="Include", Table810[[#This Row],[Post-Review Decision]]="Include if possible", Table810[[#This Row],[Post-Review Decision]]="Include (Omit % Avg if needed)",  Table810[[#This Row],[Post-Review Decision]]="Include (Omit % Avg)"),Table810[[#This Row],[EAR Total Capacity]],"")</f>
        <v/>
      </c>
      <c r="R277" s="28"/>
      <c r="S277" s="45">
        <v>0</v>
      </c>
      <c r="T277" s="28"/>
      <c r="U277" s="28"/>
      <c r="V277" s="13" t="s">
        <v>442</v>
      </c>
      <c r="W277" s="12" t="b">
        <f>ISNUMBER(Table810[[#This Row],[EAR Total Capacity]])</f>
        <v>0</v>
      </c>
      <c r="X277" s="12" t="b">
        <f>IF(Table810[[#This Row],[Has  Storage for Full Averaging Period?]]="OK",TRUE,FALSE)</f>
        <v>0</v>
      </c>
      <c r="Y277" s="12" t="b">
        <f>IFERROR(IF(YEAR(Table810[[#This Row],[RISE Storage End Date]])=2025,TRUE,FALSE),FALSE)</f>
        <v>0</v>
      </c>
      <c r="Z277" s="11" t="b">
        <v>0</v>
      </c>
      <c r="AA277" s="13">
        <v>276</v>
      </c>
      <c r="AB277" s="13" t="s">
        <v>76</v>
      </c>
      <c r="AC277" s="13" t="s">
        <v>1367</v>
      </c>
      <c r="AD277" s="13" t="s">
        <v>1366</v>
      </c>
      <c r="AE277" s="13" t="s">
        <v>101</v>
      </c>
      <c r="AF277" s="13" t="s">
        <v>1368</v>
      </c>
      <c r="AG277" s="13" t="s">
        <v>91</v>
      </c>
      <c r="AH277" s="13" t="s">
        <v>92</v>
      </c>
      <c r="AI277" s="13" t="s">
        <v>103</v>
      </c>
      <c r="AJ277" s="14"/>
      <c r="AK277" s="15"/>
      <c r="AL277" s="15"/>
      <c r="AM277" s="15" t="s">
        <v>61</v>
      </c>
      <c r="AN277" s="15" t="s">
        <v>61</v>
      </c>
      <c r="AO277" s="15" t="s">
        <v>61</v>
      </c>
      <c r="AP277" s="15" t="s">
        <v>61</v>
      </c>
      <c r="AQ277" s="22"/>
      <c r="AR277" s="25"/>
      <c r="AS277" s="25"/>
      <c r="AT277" s="25"/>
      <c r="AU277" s="25"/>
      <c r="AV277" s="25"/>
      <c r="AW277" s="25"/>
      <c r="AX277" s="24"/>
    </row>
    <row r="278" spans="1:50" ht="16.5" customHeight="1">
      <c r="A278" s="36" t="s">
        <v>1369</v>
      </c>
      <c r="B278" s="28"/>
      <c r="C278" s="28" t="s">
        <v>97</v>
      </c>
      <c r="D278" s="28"/>
      <c r="E278" s="28"/>
      <c r="F278" s="28" t="s">
        <v>61</v>
      </c>
      <c r="G278" s="28"/>
      <c r="H278" s="28" t="str">
        <f>IF(ISNUMBER(Table810[[#This Row],[Total Capacity]]),"USBR Enterprise Asset Registry",IF(Table810[[#This Row],[Total Capacity]]="",""))</f>
        <v/>
      </c>
      <c r="I278" s="28"/>
      <c r="J278" s="28"/>
      <c r="K278" s="28"/>
      <c r="L278" s="50" t="s">
        <v>98</v>
      </c>
      <c r="M278" s="48"/>
      <c r="N278" s="50" t="s">
        <v>98</v>
      </c>
      <c r="O278" s="28"/>
      <c r="P278" s="37"/>
      <c r="Q278" s="28" t="str">
        <f>IF(OR(Table810[[#This Row],[Post-Review Decision]]="Include", Table810[[#This Row],[Post-Review Decision]]="Include if possible", Table810[[#This Row],[Post-Review Decision]]="Include (Omit % Avg if needed)",  Table810[[#This Row],[Post-Review Decision]]="Include (Omit % Avg)"),Table810[[#This Row],[EAR Total Capacity]],"")</f>
        <v/>
      </c>
      <c r="R278" s="28"/>
      <c r="S278" s="45">
        <v>0</v>
      </c>
      <c r="T278" s="28"/>
      <c r="U278" s="28"/>
      <c r="V278" s="13" t="s">
        <v>442</v>
      </c>
      <c r="W278" s="12" t="b">
        <f>ISNUMBER(Table810[[#This Row],[EAR Total Capacity]])</f>
        <v>0</v>
      </c>
      <c r="X278" s="12" t="b">
        <f>IF(Table810[[#This Row],[Has  Storage for Full Averaging Period?]]="OK",TRUE,FALSE)</f>
        <v>0</v>
      </c>
      <c r="Y278" s="12" t="b">
        <f>IFERROR(IF(YEAR(Table810[[#This Row],[RISE Storage End Date]])=2025,TRUE,FALSE),FALSE)</f>
        <v>0</v>
      </c>
      <c r="Z278" s="11" t="b">
        <v>0</v>
      </c>
      <c r="AA278" s="13">
        <v>277</v>
      </c>
      <c r="AB278" s="13" t="s">
        <v>76</v>
      </c>
      <c r="AC278" s="13" t="s">
        <v>1370</v>
      </c>
      <c r="AD278" s="13" t="s">
        <v>1369</v>
      </c>
      <c r="AE278" s="13" t="s">
        <v>101</v>
      </c>
      <c r="AF278" s="13" t="s">
        <v>1371</v>
      </c>
      <c r="AG278" s="13" t="s">
        <v>91</v>
      </c>
      <c r="AH278" s="13" t="s">
        <v>92</v>
      </c>
      <c r="AI278" s="13" t="s">
        <v>103</v>
      </c>
      <c r="AJ278" s="14"/>
      <c r="AK278" s="15"/>
      <c r="AL278" s="15"/>
      <c r="AM278" s="15" t="s">
        <v>61</v>
      </c>
      <c r="AN278" s="15" t="s">
        <v>61</v>
      </c>
      <c r="AO278" s="15" t="s">
        <v>61</v>
      </c>
      <c r="AP278" s="15" t="s">
        <v>61</v>
      </c>
      <c r="AQ278" s="22"/>
      <c r="AR278" s="25"/>
      <c r="AS278" s="25"/>
      <c r="AT278" s="25"/>
      <c r="AU278" s="25"/>
      <c r="AV278" s="25"/>
      <c r="AW278" s="25"/>
      <c r="AX278" s="24"/>
    </row>
    <row r="279" spans="1:50" ht="16.5" customHeight="1">
      <c r="A279" s="36" t="s">
        <v>1372</v>
      </c>
      <c r="B279" s="28"/>
      <c r="C279" s="28" t="s">
        <v>97</v>
      </c>
      <c r="D279" s="28"/>
      <c r="E279" s="28"/>
      <c r="F279" s="28" t="s">
        <v>61</v>
      </c>
      <c r="G279" s="28"/>
      <c r="H279" s="28" t="str">
        <f>IF(ISNUMBER(Table810[[#This Row],[Total Capacity]]),"USBR Enterprise Asset Registry",IF(Table810[[#This Row],[Total Capacity]]="",""))</f>
        <v/>
      </c>
      <c r="I279" s="28"/>
      <c r="J279" s="28"/>
      <c r="K279" s="28"/>
      <c r="L279" s="50" t="s">
        <v>98</v>
      </c>
      <c r="M279" s="48"/>
      <c r="N279" s="50" t="s">
        <v>98</v>
      </c>
      <c r="O279" s="28"/>
      <c r="P279" s="37"/>
      <c r="Q279" s="28" t="str">
        <f>IF(OR(Table810[[#This Row],[Post-Review Decision]]="Include", Table810[[#This Row],[Post-Review Decision]]="Include if possible", Table810[[#This Row],[Post-Review Decision]]="Include (Omit % Avg if needed)",  Table810[[#This Row],[Post-Review Decision]]="Include (Omit % Avg)"),Table810[[#This Row],[EAR Total Capacity]],"")</f>
        <v/>
      </c>
      <c r="R279" s="28"/>
      <c r="S279" s="45">
        <v>0</v>
      </c>
      <c r="T279" s="28"/>
      <c r="U279" s="28"/>
      <c r="V279" s="13" t="s">
        <v>156</v>
      </c>
      <c r="W279" s="12" t="b">
        <f>ISNUMBER(Table810[[#This Row],[EAR Total Capacity]])</f>
        <v>0</v>
      </c>
      <c r="X279" s="12" t="b">
        <f>IF(Table810[[#This Row],[Has  Storage for Full Averaging Period?]]="OK",TRUE,FALSE)</f>
        <v>0</v>
      </c>
      <c r="Y279" s="12" t="b">
        <f>IFERROR(IF(YEAR(Table810[[#This Row],[RISE Storage End Date]])=2025,TRUE,FALSE),FALSE)</f>
        <v>0</v>
      </c>
      <c r="Z279" s="11" t="b">
        <v>0</v>
      </c>
      <c r="AA279" s="13">
        <v>278</v>
      </c>
      <c r="AB279" s="13" t="s">
        <v>76</v>
      </c>
      <c r="AC279" s="13" t="s">
        <v>1373</v>
      </c>
      <c r="AD279" s="13" t="s">
        <v>1372</v>
      </c>
      <c r="AE279" s="13" t="s">
        <v>101</v>
      </c>
      <c r="AF279" s="13" t="s">
        <v>1374</v>
      </c>
      <c r="AG279" s="13" t="s">
        <v>159</v>
      </c>
      <c r="AH279" s="13" t="s">
        <v>160</v>
      </c>
      <c r="AI279" s="13" t="s">
        <v>103</v>
      </c>
      <c r="AJ279" s="13"/>
      <c r="AK279" s="15"/>
      <c r="AL279" s="15"/>
      <c r="AM279" s="15" t="s">
        <v>61</v>
      </c>
      <c r="AN279" s="15" t="s">
        <v>61</v>
      </c>
      <c r="AO279" s="15" t="s">
        <v>61</v>
      </c>
      <c r="AP279" s="15" t="s">
        <v>61</v>
      </c>
      <c r="AQ279" s="22"/>
      <c r="AR279" s="25"/>
      <c r="AS279" s="25"/>
      <c r="AT279" s="25"/>
      <c r="AU279" s="25"/>
      <c r="AV279" s="25"/>
      <c r="AW279" s="25"/>
      <c r="AX279" s="24"/>
    </row>
    <row r="280" spans="1:50" ht="16.5" customHeight="1">
      <c r="A280" s="36" t="s">
        <v>1375</v>
      </c>
      <c r="B280" s="28" t="s">
        <v>68</v>
      </c>
      <c r="C280" s="28" t="s">
        <v>86</v>
      </c>
      <c r="D280" s="28"/>
      <c r="E280" s="28" t="s">
        <v>70</v>
      </c>
      <c r="F280" s="28">
        <v>413</v>
      </c>
      <c r="G280" s="28">
        <v>3</v>
      </c>
      <c r="H280" s="28" t="str">
        <f>IF(ISNUMBER(Table810[[#This Row],[Total Capacity]]),"USBR Enterprise Asset Registry",IF(Table810[[#This Row],[Total Capacity]]="",""))</f>
        <v>USBR Enterprise Asset Registry</v>
      </c>
      <c r="I280" s="28" t="s">
        <v>57</v>
      </c>
      <c r="J280" s="28"/>
      <c r="K280" s="33"/>
      <c r="L280" s="50">
        <v>520500</v>
      </c>
      <c r="M280" s="48"/>
      <c r="N280" s="50">
        <v>520500</v>
      </c>
      <c r="O280" s="28"/>
      <c r="P280" s="37"/>
      <c r="Q280" s="28">
        <f>IF(OR(Table810[[#This Row],[Post-Review Decision]]="Include", Table810[[#This Row],[Post-Review Decision]]="Include if possible", Table810[[#This Row],[Post-Review Decision]]="Include (Omit % Avg if needed)",  Table810[[#This Row],[Post-Review Decision]]="Include (Omit % Avg)"),Table810[[#This Row],[EAR Total Capacity]],"")</f>
        <v>520500</v>
      </c>
      <c r="R280" s="28">
        <v>433800</v>
      </c>
      <c r="S280" s="46">
        <v>503100</v>
      </c>
      <c r="T280" s="28" t="s">
        <v>1376</v>
      </c>
      <c r="U280" s="28" t="s">
        <v>1377</v>
      </c>
      <c r="V280" s="13" t="s">
        <v>831</v>
      </c>
      <c r="W280" s="12" t="b">
        <f>ISNUMBER(Table810[[#This Row],[EAR Total Capacity]])</f>
        <v>1</v>
      </c>
      <c r="X280" s="12" t="b">
        <f>IF(Table810[[#This Row],[Has  Storage for Full Averaging Period?]]="OK",TRUE,FALSE)</f>
        <v>1</v>
      </c>
      <c r="Y280" s="12" t="b">
        <f>IFERROR(IF(YEAR(Table810[[#This Row],[RISE Storage End Date]])=2025,TRUE,FALSE),FALSE)</f>
        <v>1</v>
      </c>
      <c r="Z280" s="11" t="b">
        <v>0</v>
      </c>
      <c r="AA280" s="13">
        <v>279</v>
      </c>
      <c r="AB280" s="13" t="s">
        <v>76</v>
      </c>
      <c r="AC280" s="13" t="s">
        <v>1378</v>
      </c>
      <c r="AD280" s="13" t="s">
        <v>1375</v>
      </c>
      <c r="AE280" s="13" t="s">
        <v>78</v>
      </c>
      <c r="AF280" s="13" t="s">
        <v>1379</v>
      </c>
      <c r="AG280" s="13" t="s">
        <v>159</v>
      </c>
      <c r="AH280" s="13" t="s">
        <v>160</v>
      </c>
      <c r="AI280" s="13" t="s">
        <v>93</v>
      </c>
      <c r="AJ280" s="14">
        <v>520500</v>
      </c>
      <c r="AK280" s="18"/>
      <c r="AL280" s="18"/>
      <c r="AM280" s="13" t="s">
        <v>1380</v>
      </c>
      <c r="AN280" s="13" t="s">
        <v>246</v>
      </c>
      <c r="AO280" s="13" t="s">
        <v>1375</v>
      </c>
      <c r="AP280" s="13" t="s">
        <v>1381</v>
      </c>
      <c r="AQ280" s="21" t="s">
        <v>64</v>
      </c>
      <c r="AR280" s="26">
        <v>16124</v>
      </c>
      <c r="AS280" s="26">
        <v>46007</v>
      </c>
      <c r="AT280" s="25">
        <v>29885</v>
      </c>
      <c r="AU280" s="25" t="s">
        <v>65</v>
      </c>
      <c r="AV280" s="25" t="s">
        <v>65</v>
      </c>
      <c r="AW280" s="25" t="s">
        <v>65</v>
      </c>
      <c r="AX280" s="24"/>
    </row>
    <row r="281" spans="1:50" ht="16.5" customHeight="1">
      <c r="A281" s="36" t="s">
        <v>1382</v>
      </c>
      <c r="B281" s="28"/>
      <c r="C281" s="28" t="s">
        <v>97</v>
      </c>
      <c r="D281" s="28"/>
      <c r="E281" s="28"/>
      <c r="F281" s="28">
        <v>7190</v>
      </c>
      <c r="G281" s="28"/>
      <c r="H281" s="28" t="str">
        <f>IF(ISNUMBER(Table810[[#This Row],[Total Capacity]]),"USBR Enterprise Asset Registry",IF(Table810[[#This Row],[Total Capacity]]="",""))</f>
        <v/>
      </c>
      <c r="I281" s="28"/>
      <c r="J281" s="28" t="s">
        <v>72</v>
      </c>
      <c r="K281" s="28"/>
      <c r="L281" s="50" t="s">
        <v>98</v>
      </c>
      <c r="M281" s="48"/>
      <c r="N281" s="50" t="s">
        <v>98</v>
      </c>
      <c r="O281" s="28"/>
      <c r="P281" s="37"/>
      <c r="Q281" s="28" t="str">
        <f>IF(OR(Table810[[#This Row],[Post-Review Decision]]="Include", Table810[[#This Row],[Post-Review Decision]]="Include if possible", Table810[[#This Row],[Post-Review Decision]]="Include (Omit % Avg if needed)",  Table810[[#This Row],[Post-Review Decision]]="Include (Omit % Avg)"),Table810[[#This Row],[EAR Total Capacity]],"")</f>
        <v/>
      </c>
      <c r="R281" s="28"/>
      <c r="S281" s="45" t="s">
        <v>59</v>
      </c>
      <c r="T281" s="28"/>
      <c r="U281" s="28"/>
      <c r="V281" s="17" t="s">
        <v>61</v>
      </c>
      <c r="W281" s="12" t="b">
        <f>ISNUMBER(Table810[[#This Row],[EAR Total Capacity]])</f>
        <v>0</v>
      </c>
      <c r="X281" s="12" t="b">
        <f>IF(Table810[[#This Row],[Has  Storage for Full Averaging Period?]]="OK",TRUE,FALSE)</f>
        <v>0</v>
      </c>
      <c r="Y281" s="12" t="b">
        <f>IFERROR(IF(YEAR(Table810[[#This Row],[RISE Storage End Date]])=2025,TRUE,FALSE),FALSE)</f>
        <v>0</v>
      </c>
      <c r="Z281" s="11" t="b">
        <v>0</v>
      </c>
      <c r="AA281" s="16" t="s">
        <v>61</v>
      </c>
      <c r="AB281" s="17" t="s">
        <v>61</v>
      </c>
      <c r="AC281" s="17" t="s">
        <v>61</v>
      </c>
      <c r="AD281" s="17" t="s">
        <v>61</v>
      </c>
      <c r="AE281" s="17" t="s">
        <v>61</v>
      </c>
      <c r="AF281" s="17" t="s">
        <v>61</v>
      </c>
      <c r="AG281" s="17" t="s">
        <v>61</v>
      </c>
      <c r="AH281" s="17" t="s">
        <v>61</v>
      </c>
      <c r="AI281" s="17" t="s">
        <v>61</v>
      </c>
      <c r="AJ281" s="17" t="s">
        <v>61</v>
      </c>
      <c r="AK281" s="18"/>
      <c r="AL281" s="18"/>
      <c r="AM281" s="13" t="s">
        <v>1383</v>
      </c>
      <c r="AN281" s="11" t="s">
        <v>84</v>
      </c>
      <c r="AO281" s="11" t="s">
        <v>1382</v>
      </c>
      <c r="AP281" s="11" t="s">
        <v>1382</v>
      </c>
      <c r="AQ281" s="21" t="s">
        <v>64</v>
      </c>
      <c r="AR281" s="25"/>
      <c r="AS281" s="25"/>
      <c r="AT281" s="25"/>
      <c r="AU281" s="25"/>
      <c r="AV281" s="25"/>
      <c r="AW281" s="25"/>
      <c r="AX281" s="23"/>
    </row>
    <row r="282" spans="1:50" ht="16.5" customHeight="1">
      <c r="A282" s="36" t="s">
        <v>1384</v>
      </c>
      <c r="B282" s="28" t="s">
        <v>68</v>
      </c>
      <c r="C282" s="28" t="s">
        <v>86</v>
      </c>
      <c r="D282" s="28"/>
      <c r="E282" s="28" t="s">
        <v>70</v>
      </c>
      <c r="F282" s="28">
        <v>399</v>
      </c>
      <c r="G282" s="28">
        <v>3</v>
      </c>
      <c r="H282" s="28" t="str">
        <f>IF(ISNUMBER(Table810[[#This Row],[Total Capacity]]),"USBR Enterprise Asset Registry",IF(Table810[[#This Row],[Total Capacity]]="",""))</f>
        <v>USBR Enterprise Asset Registry</v>
      </c>
      <c r="I282" s="28" t="s">
        <v>57</v>
      </c>
      <c r="J282" s="28" t="s">
        <v>72</v>
      </c>
      <c r="K282" s="28"/>
      <c r="L282" s="50">
        <v>58795</v>
      </c>
      <c r="M282" s="48"/>
      <c r="N282" s="50">
        <v>58795</v>
      </c>
      <c r="O282" s="28"/>
      <c r="P282" s="37"/>
      <c r="Q282" s="28">
        <f>IF(OR(Table810[[#This Row],[Post-Review Decision]]="Include", Table810[[#This Row],[Post-Review Decision]]="Include if possible", Table810[[#This Row],[Post-Review Decision]]="Include (Omit % Avg if needed)",  Table810[[#This Row],[Post-Review Decision]]="Include (Omit % Avg)"),Table810[[#This Row],[EAR Total Capacity]],"")</f>
        <v>58795</v>
      </c>
      <c r="R282" s="28">
        <v>58697</v>
      </c>
      <c r="S282" s="46">
        <v>58697</v>
      </c>
      <c r="T282" s="28" t="s">
        <v>1384</v>
      </c>
      <c r="U282" s="28" t="s">
        <v>1385</v>
      </c>
      <c r="V282" s="13" t="s">
        <v>107</v>
      </c>
      <c r="W282" s="12" t="b">
        <f>ISNUMBER(Table810[[#This Row],[EAR Total Capacity]])</f>
        <v>1</v>
      </c>
      <c r="X282" s="12" t="b">
        <f>IF(Table810[[#This Row],[Has  Storage for Full Averaging Period?]]="OK",TRUE,FALSE)</f>
        <v>1</v>
      </c>
      <c r="Y282" s="12" t="b">
        <f>IFERROR(IF(YEAR(Table810[[#This Row],[RISE Storage End Date]])=2025,TRUE,FALSE),FALSE)</f>
        <v>1</v>
      </c>
      <c r="Z282" s="11" t="b">
        <v>0</v>
      </c>
      <c r="AA282" s="13">
        <v>222</v>
      </c>
      <c r="AB282" s="13" t="s">
        <v>76</v>
      </c>
      <c r="AC282" s="13" t="s">
        <v>1386</v>
      </c>
      <c r="AD282" s="13" t="s">
        <v>1384</v>
      </c>
      <c r="AE282" s="13" t="s">
        <v>78</v>
      </c>
      <c r="AF282" s="13" t="s">
        <v>1387</v>
      </c>
      <c r="AG282" s="13" t="s">
        <v>109</v>
      </c>
      <c r="AH282" s="13" t="s">
        <v>92</v>
      </c>
      <c r="AI282" s="13" t="s">
        <v>110</v>
      </c>
      <c r="AJ282" s="14">
        <v>58795</v>
      </c>
      <c r="AK282" s="18"/>
      <c r="AL282" s="18"/>
      <c r="AM282" s="13" t="s">
        <v>1388</v>
      </c>
      <c r="AN282" s="13" t="s">
        <v>95</v>
      </c>
      <c r="AO282" s="13" t="s">
        <v>1384</v>
      </c>
      <c r="AP282" s="13" t="s">
        <v>1384</v>
      </c>
      <c r="AQ282" s="21" t="s">
        <v>64</v>
      </c>
      <c r="AR282" s="26">
        <v>33146</v>
      </c>
      <c r="AS282" s="26">
        <v>46007</v>
      </c>
      <c r="AT282" s="25">
        <v>12865</v>
      </c>
      <c r="AU282" s="25" t="s">
        <v>65</v>
      </c>
      <c r="AV282" s="25" t="s">
        <v>65</v>
      </c>
      <c r="AW282" s="25" t="s">
        <v>65</v>
      </c>
      <c r="AX282" s="24"/>
    </row>
    <row r="283" spans="1:50" ht="16.5" customHeight="1">
      <c r="A283" s="36" t="s">
        <v>1389</v>
      </c>
      <c r="B283" s="28" t="s">
        <v>68</v>
      </c>
      <c r="C283" s="28" t="s">
        <v>86</v>
      </c>
      <c r="D283" s="28"/>
      <c r="E283" s="28" t="s">
        <v>70</v>
      </c>
      <c r="F283" s="28">
        <v>3513</v>
      </c>
      <c r="G283" s="28">
        <v>3</v>
      </c>
      <c r="H283" s="28" t="str">
        <f>IF(ISNUMBER(Table810[[#This Row],[Total Capacity]]),"USBR Enterprise Asset Registry",IF(Table810[[#This Row],[Total Capacity]]="",""))</f>
        <v>USBR Enterprise Asset Registry</v>
      </c>
      <c r="I283" s="28" t="s">
        <v>257</v>
      </c>
      <c r="J283" s="28" t="s">
        <v>72</v>
      </c>
      <c r="K283" s="33"/>
      <c r="L283" s="50">
        <v>1873648</v>
      </c>
      <c r="M283" s="48"/>
      <c r="N283" s="50">
        <v>1873648</v>
      </c>
      <c r="O283" s="28"/>
      <c r="P283" s="37"/>
      <c r="Q283" s="28">
        <f>IF(OR(Table810[[#This Row],[Post-Review Decision]]="Include", Table810[[#This Row],[Post-Review Decision]]="Include if possible", Table810[[#This Row],[Post-Review Decision]]="Include (Omit % Avg if needed)",  Table810[[#This Row],[Post-Review Decision]]="Include (Omit % Avg)"),Table810[[#This Row],[EAR Total Capacity]],"")</f>
        <v>1887167</v>
      </c>
      <c r="R283" s="28">
        <v>1592300</v>
      </c>
      <c r="S283" s="46">
        <v>1873648</v>
      </c>
      <c r="T283" s="28" t="s">
        <v>1390</v>
      </c>
      <c r="U283" s="28" t="s">
        <v>1391</v>
      </c>
      <c r="V283" s="13" t="s">
        <v>972</v>
      </c>
      <c r="W283" s="12" t="b">
        <f>ISNUMBER(Table810[[#This Row],[EAR Total Capacity]])</f>
        <v>1</v>
      </c>
      <c r="X283" s="12" t="b">
        <f>IF(Table810[[#This Row],[Has  Storage for Full Averaging Period?]]="OK",TRUE,FALSE)</f>
        <v>1</v>
      </c>
      <c r="Y283" s="12" t="b">
        <f>IFERROR(IF(YEAR(Table810[[#This Row],[RISE Storage End Date]])=2025,TRUE,FALSE),FALSE)</f>
        <v>1</v>
      </c>
      <c r="Z283" s="11" t="b">
        <v>0</v>
      </c>
      <c r="AA283" s="13">
        <v>223</v>
      </c>
      <c r="AB283" s="13" t="s">
        <v>76</v>
      </c>
      <c r="AC283" s="13" t="s">
        <v>1392</v>
      </c>
      <c r="AD283" s="13" t="s">
        <v>1389</v>
      </c>
      <c r="AE283" s="13" t="s">
        <v>78</v>
      </c>
      <c r="AF283" s="13" t="s">
        <v>1393</v>
      </c>
      <c r="AG283" s="13" t="s">
        <v>179</v>
      </c>
      <c r="AH283" s="13" t="s">
        <v>180</v>
      </c>
      <c r="AI283" s="13" t="s">
        <v>93</v>
      </c>
      <c r="AJ283" s="13">
        <v>1887167</v>
      </c>
      <c r="AK283" s="18"/>
      <c r="AL283" s="18"/>
      <c r="AM283" s="13" t="s">
        <v>1394</v>
      </c>
      <c r="AN283" s="13" t="s">
        <v>183</v>
      </c>
      <c r="AO283" s="13" t="s">
        <v>1389</v>
      </c>
      <c r="AP283" s="13" t="s">
        <v>1389</v>
      </c>
      <c r="AQ283" s="21" t="s">
        <v>64</v>
      </c>
      <c r="AR283" s="26">
        <v>18296</v>
      </c>
      <c r="AS283" s="26">
        <v>46007</v>
      </c>
      <c r="AT283" s="25">
        <v>27713</v>
      </c>
      <c r="AU283" s="25" t="s">
        <v>65</v>
      </c>
      <c r="AV283" s="25" t="s">
        <v>65</v>
      </c>
      <c r="AW283" s="25" t="s">
        <v>65</v>
      </c>
      <c r="AX283" s="24"/>
    </row>
    <row r="284" spans="1:50" ht="16.5" customHeight="1">
      <c r="A284" s="36" t="s">
        <v>1395</v>
      </c>
      <c r="B284" s="28"/>
      <c r="C284" s="28" t="s">
        <v>97</v>
      </c>
      <c r="D284" s="28"/>
      <c r="E284" s="28"/>
      <c r="F284" s="28" t="s">
        <v>61</v>
      </c>
      <c r="G284" s="28"/>
      <c r="H284" s="28" t="str">
        <f>IF(ISNUMBER(Table810[[#This Row],[Total Capacity]]),"USBR Enterprise Asset Registry",IF(Table810[[#This Row],[Total Capacity]]="",""))</f>
        <v/>
      </c>
      <c r="I284" s="28"/>
      <c r="J284" s="28"/>
      <c r="K284" s="28"/>
      <c r="L284" s="50" t="s">
        <v>98</v>
      </c>
      <c r="M284" s="48"/>
      <c r="N284" s="50" t="s">
        <v>98</v>
      </c>
      <c r="O284" s="28"/>
      <c r="P284" s="37"/>
      <c r="Q284" s="28" t="str">
        <f>IF(OR(Table810[[#This Row],[Post-Review Decision]]="Include", Table810[[#This Row],[Post-Review Decision]]="Include if possible", Table810[[#This Row],[Post-Review Decision]]="Include (Omit % Avg if needed)",  Table810[[#This Row],[Post-Review Decision]]="Include (Omit % Avg)"),Table810[[#This Row],[EAR Total Capacity]],"")</f>
        <v/>
      </c>
      <c r="R284" s="28"/>
      <c r="S284" s="45">
        <v>0</v>
      </c>
      <c r="T284" s="28"/>
      <c r="U284" s="28"/>
      <c r="V284" s="13" t="s">
        <v>193</v>
      </c>
      <c r="W284" s="12" t="b">
        <f>ISNUMBER(Table810[[#This Row],[EAR Total Capacity]])</f>
        <v>1</v>
      </c>
      <c r="X284" s="12" t="b">
        <f>IF(Table810[[#This Row],[Has  Storage for Full Averaging Period?]]="OK",TRUE,FALSE)</f>
        <v>0</v>
      </c>
      <c r="Y284" s="12" t="b">
        <f>IFERROR(IF(YEAR(Table810[[#This Row],[RISE Storage End Date]])=2025,TRUE,FALSE),FALSE)</f>
        <v>0</v>
      </c>
      <c r="Z284" s="11" t="b">
        <v>0</v>
      </c>
      <c r="AA284" s="13">
        <v>280</v>
      </c>
      <c r="AB284" s="13" t="s">
        <v>76</v>
      </c>
      <c r="AC284" s="13" t="s">
        <v>1396</v>
      </c>
      <c r="AD284" s="13" t="s">
        <v>1395</v>
      </c>
      <c r="AE284" s="13" t="s">
        <v>101</v>
      </c>
      <c r="AF284" s="13" t="s">
        <v>1397</v>
      </c>
      <c r="AG284" s="13" t="s">
        <v>91</v>
      </c>
      <c r="AH284" s="13" t="s">
        <v>102</v>
      </c>
      <c r="AI284" s="13" t="s">
        <v>110</v>
      </c>
      <c r="AJ284" s="14">
        <v>27</v>
      </c>
      <c r="AK284" s="15"/>
      <c r="AL284" s="15"/>
      <c r="AM284" s="15" t="s">
        <v>61</v>
      </c>
      <c r="AN284" s="15" t="s">
        <v>61</v>
      </c>
      <c r="AO284" s="15" t="s">
        <v>61</v>
      </c>
      <c r="AP284" s="15" t="s">
        <v>61</v>
      </c>
      <c r="AQ284" s="22"/>
      <c r="AR284" s="25"/>
      <c r="AS284" s="25"/>
      <c r="AT284" s="25"/>
      <c r="AU284" s="25"/>
      <c r="AV284" s="25"/>
      <c r="AW284" s="25"/>
      <c r="AX284" s="24"/>
    </row>
    <row r="285" spans="1:50" ht="16.5" customHeight="1">
      <c r="A285" s="36" t="s">
        <v>1398</v>
      </c>
      <c r="B285" s="28"/>
      <c r="C285" s="28" t="s">
        <v>97</v>
      </c>
      <c r="D285" s="28"/>
      <c r="E285" s="28"/>
      <c r="F285" s="28" t="s">
        <v>61</v>
      </c>
      <c r="G285" s="28"/>
      <c r="H285" s="28" t="str">
        <f>IF(ISNUMBER(Table810[[#This Row],[Total Capacity]]),"USBR Enterprise Asset Registry",IF(Table810[[#This Row],[Total Capacity]]="",""))</f>
        <v/>
      </c>
      <c r="I285" s="28"/>
      <c r="J285" s="28"/>
      <c r="K285" s="28"/>
      <c r="L285" s="50" t="s">
        <v>98</v>
      </c>
      <c r="M285" s="48"/>
      <c r="N285" s="50" t="s">
        <v>98</v>
      </c>
      <c r="O285" s="28"/>
      <c r="P285" s="37"/>
      <c r="Q285" s="28" t="str">
        <f>IF(OR(Table810[[#This Row],[Post-Review Decision]]="Include", Table810[[#This Row],[Post-Review Decision]]="Include if possible", Table810[[#This Row],[Post-Review Decision]]="Include (Omit % Avg if needed)",  Table810[[#This Row],[Post-Review Decision]]="Include (Omit % Avg)"),Table810[[#This Row],[EAR Total Capacity]],"")</f>
        <v/>
      </c>
      <c r="R285" s="28"/>
      <c r="S285" s="45">
        <v>0</v>
      </c>
      <c r="T285" s="28"/>
      <c r="U285" s="28"/>
      <c r="V285" s="13" t="s">
        <v>530</v>
      </c>
      <c r="W285" s="12" t="b">
        <f>ISNUMBER(Table810[[#This Row],[EAR Total Capacity]])</f>
        <v>0</v>
      </c>
      <c r="X285" s="12" t="b">
        <f>IF(Table810[[#This Row],[Has  Storage for Full Averaging Period?]]="OK",TRUE,FALSE)</f>
        <v>0</v>
      </c>
      <c r="Y285" s="12" t="b">
        <f>IFERROR(IF(YEAR(Table810[[#This Row],[RISE Storage End Date]])=2025,TRUE,FALSE),FALSE)</f>
        <v>0</v>
      </c>
      <c r="Z285" s="11" t="b">
        <v>0</v>
      </c>
      <c r="AA285" s="13">
        <v>281</v>
      </c>
      <c r="AB285" s="13" t="s">
        <v>76</v>
      </c>
      <c r="AC285" s="13" t="s">
        <v>1399</v>
      </c>
      <c r="AD285" s="13" t="s">
        <v>1398</v>
      </c>
      <c r="AE285" s="13" t="s">
        <v>101</v>
      </c>
      <c r="AF285" s="13" t="s">
        <v>1400</v>
      </c>
      <c r="AG285" s="13" t="s">
        <v>91</v>
      </c>
      <c r="AH285" s="13" t="s">
        <v>102</v>
      </c>
      <c r="AI285" s="13" t="s">
        <v>103</v>
      </c>
      <c r="AJ285" s="13"/>
      <c r="AK285" s="15"/>
      <c r="AL285" s="15"/>
      <c r="AM285" s="15" t="s">
        <v>61</v>
      </c>
      <c r="AN285" s="15" t="s">
        <v>61</v>
      </c>
      <c r="AO285" s="15" t="s">
        <v>61</v>
      </c>
      <c r="AP285" s="15" t="s">
        <v>61</v>
      </c>
      <c r="AQ285" s="22"/>
      <c r="AR285" s="25"/>
      <c r="AS285" s="25"/>
      <c r="AT285" s="25"/>
      <c r="AU285" s="25"/>
      <c r="AV285" s="25"/>
      <c r="AW285" s="25"/>
      <c r="AX285" s="24"/>
    </row>
    <row r="286" spans="1:50" ht="16.5" customHeight="1">
      <c r="A286" s="36" t="s">
        <v>1401</v>
      </c>
      <c r="B286" s="28" t="s">
        <v>68</v>
      </c>
      <c r="C286" s="28" t="s">
        <v>86</v>
      </c>
      <c r="D286" s="28"/>
      <c r="E286" s="28" t="s">
        <v>70</v>
      </c>
      <c r="F286" s="28">
        <v>416</v>
      </c>
      <c r="G286" s="28">
        <v>3</v>
      </c>
      <c r="H286" s="28" t="str">
        <f>IF(ISNUMBER(Table810[[#This Row],[Total Capacity]]),"USBR Enterprise Asset Registry",IF(Table810[[#This Row],[Total Capacity]]="",""))</f>
        <v>USBR Enterprise Asset Registry</v>
      </c>
      <c r="I286" s="28" t="s">
        <v>257</v>
      </c>
      <c r="J286" s="28" t="s">
        <v>72</v>
      </c>
      <c r="K286" s="33"/>
      <c r="L286" s="50">
        <v>37848</v>
      </c>
      <c r="M286" s="48"/>
      <c r="N286" s="50">
        <v>37848</v>
      </c>
      <c r="O286" s="28"/>
      <c r="P286" s="37"/>
      <c r="Q286" s="28">
        <f>IF(OR(Table810[[#This Row],[Post-Review Decision]]="Include", Table810[[#This Row],[Post-Review Decision]]="Include if possible", Table810[[#This Row],[Post-Review Decision]]="Include (Omit % Avg if needed)",  Table810[[#This Row],[Post-Review Decision]]="Include (Omit % Avg)"),Table810[[#This Row],[EAR Total Capacity]],"")</f>
        <v>53633</v>
      </c>
      <c r="R286" s="28">
        <v>37848</v>
      </c>
      <c r="S286" s="46">
        <v>37848</v>
      </c>
      <c r="T286" s="28" t="s">
        <v>1402</v>
      </c>
      <c r="U286" s="28" t="s">
        <v>1403</v>
      </c>
      <c r="V286" s="13" t="s">
        <v>1404</v>
      </c>
      <c r="W286" s="12" t="b">
        <f>ISNUMBER(Table810[[#This Row],[EAR Total Capacity]])</f>
        <v>1</v>
      </c>
      <c r="X286" s="12" t="b">
        <f>IF(Table810[[#This Row],[Has  Storage for Full Averaging Period?]]="OK",TRUE,FALSE)</f>
        <v>1</v>
      </c>
      <c r="Y286" s="12" t="b">
        <f>IFERROR(IF(YEAR(Table810[[#This Row],[RISE Storage End Date]])=2025,TRUE,FALSE),FALSE)</f>
        <v>1</v>
      </c>
      <c r="Z286" s="11" t="b">
        <v>0</v>
      </c>
      <c r="AA286" s="13">
        <v>282</v>
      </c>
      <c r="AB286" s="13" t="s">
        <v>76</v>
      </c>
      <c r="AC286" s="13" t="s">
        <v>1402</v>
      </c>
      <c r="AD286" s="13" t="s">
        <v>1401</v>
      </c>
      <c r="AE286" s="13" t="s">
        <v>78</v>
      </c>
      <c r="AF286" s="13" t="s">
        <v>1405</v>
      </c>
      <c r="AG286" s="13" t="s">
        <v>91</v>
      </c>
      <c r="AH286" s="13" t="s">
        <v>102</v>
      </c>
      <c r="AI286" s="13" t="s">
        <v>93</v>
      </c>
      <c r="AJ286" s="14">
        <v>53633</v>
      </c>
      <c r="AK286" s="18"/>
      <c r="AL286" s="18"/>
      <c r="AM286" s="13" t="s">
        <v>1406</v>
      </c>
      <c r="AN286" s="13" t="s">
        <v>63</v>
      </c>
      <c r="AO286" s="13" t="s">
        <v>1402</v>
      </c>
      <c r="AP286" s="13" t="s">
        <v>1402</v>
      </c>
      <c r="AQ286" s="21" t="s">
        <v>64</v>
      </c>
      <c r="AR286" s="26">
        <v>27333</v>
      </c>
      <c r="AS286" s="26">
        <v>46007</v>
      </c>
      <c r="AT286" s="25">
        <v>18676</v>
      </c>
      <c r="AU286" s="25" t="s">
        <v>65</v>
      </c>
      <c r="AV286" s="25" t="s">
        <v>65</v>
      </c>
      <c r="AW286" s="25" t="s">
        <v>65</v>
      </c>
      <c r="AX286" s="24" t="s">
        <v>1407</v>
      </c>
    </row>
    <row r="287" spans="1:50" ht="16.5" customHeight="1">
      <c r="A287" s="36" t="s">
        <v>1408</v>
      </c>
      <c r="B287" s="28"/>
      <c r="C287" s="28" t="s">
        <v>97</v>
      </c>
      <c r="D287" s="28"/>
      <c r="E287" s="28"/>
      <c r="F287" s="28" t="s">
        <v>61</v>
      </c>
      <c r="G287" s="28"/>
      <c r="H287" s="28" t="str">
        <f>IF(ISNUMBER(Table810[[#This Row],[Total Capacity]]),"USBR Enterprise Asset Registry",IF(Table810[[#This Row],[Total Capacity]]="",""))</f>
        <v/>
      </c>
      <c r="I287" s="28"/>
      <c r="J287" s="28"/>
      <c r="K287" s="28"/>
      <c r="L287" s="50" t="s">
        <v>98</v>
      </c>
      <c r="M287" s="48"/>
      <c r="N287" s="50" t="s">
        <v>98</v>
      </c>
      <c r="O287" s="28"/>
      <c r="P287" s="37"/>
      <c r="Q287" s="28" t="str">
        <f>IF(OR(Table810[[#This Row],[Post-Review Decision]]="Include", Table810[[#This Row],[Post-Review Decision]]="Include if possible", Table810[[#This Row],[Post-Review Decision]]="Include (Omit % Avg if needed)",  Table810[[#This Row],[Post-Review Decision]]="Include (Omit % Avg)"),Table810[[#This Row],[EAR Total Capacity]],"")</f>
        <v/>
      </c>
      <c r="R287" s="28"/>
      <c r="S287" s="45">
        <v>0</v>
      </c>
      <c r="T287" s="28"/>
      <c r="U287" s="28"/>
      <c r="V287" s="13" t="s">
        <v>442</v>
      </c>
      <c r="W287" s="12" t="b">
        <f>ISNUMBER(Table810[[#This Row],[EAR Total Capacity]])</f>
        <v>0</v>
      </c>
      <c r="X287" s="12" t="b">
        <f>IF(Table810[[#This Row],[Has  Storage for Full Averaging Period?]]="OK",TRUE,FALSE)</f>
        <v>0</v>
      </c>
      <c r="Y287" s="12" t="b">
        <f>IFERROR(IF(YEAR(Table810[[#This Row],[RISE Storage End Date]])=2025,TRUE,FALSE),FALSE)</f>
        <v>0</v>
      </c>
      <c r="Z287" s="11" t="b">
        <v>0</v>
      </c>
      <c r="AA287" s="13">
        <v>283</v>
      </c>
      <c r="AB287" s="13" t="s">
        <v>76</v>
      </c>
      <c r="AC287" s="13" t="s">
        <v>1409</v>
      </c>
      <c r="AD287" s="13" t="s">
        <v>1408</v>
      </c>
      <c r="AE287" s="13" t="s">
        <v>101</v>
      </c>
      <c r="AF287" s="13" t="s">
        <v>1410</v>
      </c>
      <c r="AG287" s="13" t="s">
        <v>91</v>
      </c>
      <c r="AH287" s="13" t="s">
        <v>92</v>
      </c>
      <c r="AI287" s="13" t="s">
        <v>103</v>
      </c>
      <c r="AJ287" s="13"/>
      <c r="AK287" s="15"/>
      <c r="AL287" s="15"/>
      <c r="AM287" s="15" t="s">
        <v>61</v>
      </c>
      <c r="AN287" s="15" t="s">
        <v>61</v>
      </c>
      <c r="AO287" s="15" t="s">
        <v>61</v>
      </c>
      <c r="AP287" s="15" t="s">
        <v>61</v>
      </c>
      <c r="AQ287" s="22"/>
      <c r="AR287" s="25"/>
      <c r="AS287" s="25"/>
      <c r="AT287" s="25"/>
      <c r="AU287" s="25"/>
      <c r="AV287" s="25"/>
      <c r="AW287" s="25"/>
      <c r="AX287" s="24"/>
    </row>
    <row r="288" spans="1:50" ht="16.5" customHeight="1">
      <c r="A288" s="36" t="s">
        <v>1411</v>
      </c>
      <c r="B288" s="28" t="s">
        <v>68</v>
      </c>
      <c r="C288" s="28" t="s">
        <v>86</v>
      </c>
      <c r="D288" s="28"/>
      <c r="E288" s="28" t="s">
        <v>70</v>
      </c>
      <c r="F288" s="28">
        <v>417</v>
      </c>
      <c r="G288" s="28">
        <v>3</v>
      </c>
      <c r="H288" s="28" t="str">
        <f>IF(ISNUMBER(Table810[[#This Row],[Total Capacity]]),"USBR Enterprise Asset Registry",IF(Table810[[#This Row],[Total Capacity]]="",""))</f>
        <v>USBR Enterprise Asset Registry</v>
      </c>
      <c r="I288" s="28" t="s">
        <v>257</v>
      </c>
      <c r="J288" s="28" t="s">
        <v>72</v>
      </c>
      <c r="K288" s="28"/>
      <c r="L288" s="50">
        <v>117190</v>
      </c>
      <c r="M288" s="48">
        <v>117025</v>
      </c>
      <c r="N288" s="50">
        <v>117025</v>
      </c>
      <c r="O288" s="28"/>
      <c r="P288" s="37"/>
      <c r="Q288" s="28">
        <f>IF(OR(Table810[[#This Row],[Post-Review Decision]]="Include", Table810[[#This Row],[Post-Review Decision]]="Include if possible", Table810[[#This Row],[Post-Review Decision]]="Include (Omit % Avg if needed)",  Table810[[#This Row],[Post-Review Decision]]="Include (Omit % Avg)"),Table810[[#This Row],[EAR Total Capacity]],"")</f>
        <v>117190</v>
      </c>
      <c r="R288" s="28">
        <v>42120</v>
      </c>
      <c r="S288" s="46">
        <v>117025</v>
      </c>
      <c r="T288" s="28" t="s">
        <v>1411</v>
      </c>
      <c r="U288" s="28" t="s">
        <v>1412</v>
      </c>
      <c r="V288" s="13" t="s">
        <v>298</v>
      </c>
      <c r="W288" s="12" t="b">
        <f>ISNUMBER(Table810[[#This Row],[EAR Total Capacity]])</f>
        <v>1</v>
      </c>
      <c r="X288" s="12" t="b">
        <f>IF(Table810[[#This Row],[Has  Storage for Full Averaging Period?]]="OK",TRUE,FALSE)</f>
        <v>1</v>
      </c>
      <c r="Y288" s="12" t="b">
        <f>IFERROR(IF(YEAR(Table810[[#This Row],[RISE Storage End Date]])=2025,TRUE,FALSE),FALSE)</f>
        <v>1</v>
      </c>
      <c r="Z288" s="11" t="b">
        <v>0</v>
      </c>
      <c r="AA288" s="13">
        <v>284</v>
      </c>
      <c r="AB288" s="13" t="s">
        <v>76</v>
      </c>
      <c r="AC288" s="13" t="s">
        <v>1413</v>
      </c>
      <c r="AD288" s="13" t="s">
        <v>1411</v>
      </c>
      <c r="AE288" s="13" t="s">
        <v>78</v>
      </c>
      <c r="AF288" s="13" t="s">
        <v>1414</v>
      </c>
      <c r="AG288" s="13" t="s">
        <v>91</v>
      </c>
      <c r="AH288" s="13" t="s">
        <v>102</v>
      </c>
      <c r="AI288" s="13" t="s">
        <v>93</v>
      </c>
      <c r="AJ288" s="14">
        <v>117190</v>
      </c>
      <c r="AK288" s="18"/>
      <c r="AL288" s="18"/>
      <c r="AM288" s="13" t="s">
        <v>1415</v>
      </c>
      <c r="AN288" s="13" t="s">
        <v>63</v>
      </c>
      <c r="AO288" s="13" t="s">
        <v>1411</v>
      </c>
      <c r="AP288" s="13" t="s">
        <v>1411</v>
      </c>
      <c r="AQ288" s="21" t="s">
        <v>64</v>
      </c>
      <c r="AR288" s="26">
        <v>25903</v>
      </c>
      <c r="AS288" s="26">
        <v>46007</v>
      </c>
      <c r="AT288" s="25">
        <v>20106</v>
      </c>
      <c r="AU288" s="25" t="s">
        <v>65</v>
      </c>
      <c r="AV288" s="25" t="s">
        <v>65</v>
      </c>
      <c r="AW288" s="25" t="s">
        <v>65</v>
      </c>
      <c r="AX288" s="24"/>
    </row>
    <row r="289" spans="1:50" ht="16.5" customHeight="1">
      <c r="A289" s="36" t="s">
        <v>1416</v>
      </c>
      <c r="B289" s="28"/>
      <c r="C289" s="28" t="s">
        <v>97</v>
      </c>
      <c r="D289" s="28"/>
      <c r="E289" s="28"/>
      <c r="F289" s="28" t="s">
        <v>61</v>
      </c>
      <c r="G289" s="28"/>
      <c r="H289" s="28" t="str">
        <f>IF(ISNUMBER(Table810[[#This Row],[Total Capacity]]),"USBR Enterprise Asset Registry",IF(Table810[[#This Row],[Total Capacity]]="",""))</f>
        <v/>
      </c>
      <c r="I289" s="28"/>
      <c r="J289" s="28"/>
      <c r="K289" s="28"/>
      <c r="L289" s="50" t="s">
        <v>98</v>
      </c>
      <c r="M289" s="48"/>
      <c r="N289" s="50" t="s">
        <v>98</v>
      </c>
      <c r="O289" s="28"/>
      <c r="P289" s="37"/>
      <c r="Q289" s="28" t="str">
        <f>IF(OR(Table810[[#This Row],[Post-Review Decision]]="Include", Table810[[#This Row],[Post-Review Decision]]="Include if possible", Table810[[#This Row],[Post-Review Decision]]="Include (Omit % Avg if needed)",  Table810[[#This Row],[Post-Review Decision]]="Include (Omit % Avg)"),Table810[[#This Row],[EAR Total Capacity]],"")</f>
        <v/>
      </c>
      <c r="R289" s="28"/>
      <c r="S289" s="45">
        <v>0</v>
      </c>
      <c r="T289" s="28"/>
      <c r="U289" s="28"/>
      <c r="V289" s="13" t="s">
        <v>206</v>
      </c>
      <c r="W289" s="12" t="b">
        <f>ISNUMBER(Table810[[#This Row],[EAR Total Capacity]])</f>
        <v>0</v>
      </c>
      <c r="X289" s="12" t="b">
        <f>IF(Table810[[#This Row],[Has  Storage for Full Averaging Period?]]="OK",TRUE,FALSE)</f>
        <v>0</v>
      </c>
      <c r="Y289" s="12" t="b">
        <f>IFERROR(IF(YEAR(Table810[[#This Row],[RISE Storage End Date]])=2025,TRUE,FALSE),FALSE)</f>
        <v>0</v>
      </c>
      <c r="Z289" s="11" t="b">
        <v>0</v>
      </c>
      <c r="AA289" s="13">
        <v>285</v>
      </c>
      <c r="AB289" s="13" t="s">
        <v>76</v>
      </c>
      <c r="AC289" s="13" t="s">
        <v>1417</v>
      </c>
      <c r="AD289" s="13" t="s">
        <v>1416</v>
      </c>
      <c r="AE289" s="13" t="s">
        <v>78</v>
      </c>
      <c r="AF289" s="13" t="s">
        <v>1418</v>
      </c>
      <c r="AG289" s="13" t="s">
        <v>80</v>
      </c>
      <c r="AH289" s="13" t="s">
        <v>81</v>
      </c>
      <c r="AI289" s="13" t="s">
        <v>110</v>
      </c>
      <c r="AJ289" s="14"/>
      <c r="AK289" s="15"/>
      <c r="AL289" s="15"/>
      <c r="AM289" s="15" t="s">
        <v>61</v>
      </c>
      <c r="AN289" s="15" t="s">
        <v>61</v>
      </c>
      <c r="AO289" s="15" t="s">
        <v>61</v>
      </c>
      <c r="AP289" s="15" t="s">
        <v>61</v>
      </c>
      <c r="AQ289" s="21" t="s">
        <v>136</v>
      </c>
      <c r="AR289" s="25"/>
      <c r="AS289" s="25"/>
      <c r="AT289" s="25"/>
      <c r="AU289" s="25"/>
      <c r="AV289" s="25"/>
      <c r="AW289" s="25"/>
      <c r="AX289" s="24"/>
    </row>
    <row r="290" spans="1:50" ht="16.5" customHeight="1">
      <c r="A290" s="36" t="s">
        <v>1419</v>
      </c>
      <c r="B290" s="28" t="s">
        <v>68</v>
      </c>
      <c r="C290" s="28" t="s">
        <v>321</v>
      </c>
      <c r="D290" s="28"/>
      <c r="E290" s="28" t="s">
        <v>70</v>
      </c>
      <c r="F290" s="28">
        <v>419</v>
      </c>
      <c r="G290" s="28">
        <v>3</v>
      </c>
      <c r="H290" s="28" t="str">
        <f>IF(ISNUMBER(Table810[[#This Row],[Total Capacity]]),"USBR Enterprise Asset Registry",IF(Table810[[#This Row],[Total Capacity]]="",""))</f>
        <v>USBR Enterprise Asset Registry</v>
      </c>
      <c r="I290" s="28" t="s">
        <v>57</v>
      </c>
      <c r="J290" s="28" t="s">
        <v>72</v>
      </c>
      <c r="K290" s="28"/>
      <c r="L290" s="50">
        <v>11143</v>
      </c>
      <c r="M290" s="48"/>
      <c r="N290" s="50">
        <v>11143</v>
      </c>
      <c r="O290" s="28"/>
      <c r="P290" s="37"/>
      <c r="Q290" s="28">
        <f>IF(OR(Table810[[#This Row],[Post-Review Decision]]="Include", Table810[[#This Row],[Post-Review Decision]]="Include if possible", Table810[[#This Row],[Post-Review Decision]]="Include (Omit % Avg if needed)",  Table810[[#This Row],[Post-Review Decision]]="Include (Omit % Avg)"),Table810[[#This Row],[EAR Total Capacity]],"")</f>
        <v>11143</v>
      </c>
      <c r="R290" s="28">
        <v>7318</v>
      </c>
      <c r="S290" s="46">
        <v>10582</v>
      </c>
      <c r="T290" s="28" t="s">
        <v>1419</v>
      </c>
      <c r="U290" s="28" t="s">
        <v>1420</v>
      </c>
      <c r="V290" s="13" t="s">
        <v>442</v>
      </c>
      <c r="W290" s="12" t="b">
        <f>ISNUMBER(Table810[[#This Row],[EAR Total Capacity]])</f>
        <v>1</v>
      </c>
      <c r="X290" s="12" t="b">
        <f>IF(Table810[[#This Row],[Has  Storage for Full Averaging Period?]]="OK",TRUE,FALSE)</f>
        <v>0</v>
      </c>
      <c r="Y290" s="12" t="b">
        <f>IFERROR(IF(YEAR(Table810[[#This Row],[RISE Storage End Date]])=2025,TRUE,FALSE),FALSE)</f>
        <v>1</v>
      </c>
      <c r="Z290" s="11" t="b">
        <v>0</v>
      </c>
      <c r="AA290" s="13">
        <v>286</v>
      </c>
      <c r="AB290" s="13" t="s">
        <v>76</v>
      </c>
      <c r="AC290" s="13" t="s">
        <v>1419</v>
      </c>
      <c r="AD290" s="13" t="s">
        <v>1419</v>
      </c>
      <c r="AE290" s="13" t="s">
        <v>78</v>
      </c>
      <c r="AF290" s="13" t="s">
        <v>1421</v>
      </c>
      <c r="AG290" s="13" t="s">
        <v>91</v>
      </c>
      <c r="AH290" s="13" t="s">
        <v>92</v>
      </c>
      <c r="AI290" s="13" t="s">
        <v>82</v>
      </c>
      <c r="AJ290" s="14">
        <v>11143</v>
      </c>
      <c r="AK290" s="18"/>
      <c r="AL290" s="18"/>
      <c r="AM290" s="13" t="s">
        <v>1422</v>
      </c>
      <c r="AN290" s="13" t="s">
        <v>135</v>
      </c>
      <c r="AO290" s="13" t="s">
        <v>1423</v>
      </c>
      <c r="AP290" s="13" t="s">
        <v>1423</v>
      </c>
      <c r="AQ290" s="21" t="s">
        <v>64</v>
      </c>
      <c r="AR290" s="26">
        <v>39198</v>
      </c>
      <c r="AS290" s="26">
        <v>46007</v>
      </c>
      <c r="AT290" s="25">
        <v>6772</v>
      </c>
      <c r="AU290" s="25" t="s">
        <v>66</v>
      </c>
      <c r="AV290" s="25" t="s">
        <v>65</v>
      </c>
      <c r="AW290" s="25" t="s">
        <v>66</v>
      </c>
      <c r="AX290" s="24"/>
    </row>
    <row r="291" spans="1:50" ht="16.5" customHeight="1">
      <c r="A291" s="36" t="s">
        <v>1424</v>
      </c>
      <c r="B291" s="28" t="s">
        <v>68</v>
      </c>
      <c r="C291" s="28" t="s">
        <v>86</v>
      </c>
      <c r="D291" s="28"/>
      <c r="E291" s="28" t="s">
        <v>70</v>
      </c>
      <c r="F291" s="28">
        <v>3511</v>
      </c>
      <c r="G291" s="28">
        <v>3</v>
      </c>
      <c r="H291" s="28" t="str">
        <f>IF(ISNUMBER(Table810[[#This Row],[Total Capacity]]),"USBR Enterprise Asset Registry",IF(Table810[[#This Row],[Total Capacity]]="",""))</f>
        <v>USBR Enterprise Asset Registry</v>
      </c>
      <c r="I291" s="28" t="s">
        <v>57</v>
      </c>
      <c r="J291" s="28" t="s">
        <v>72</v>
      </c>
      <c r="K291" s="28"/>
      <c r="L291" s="50">
        <v>1729</v>
      </c>
      <c r="M291" s="48">
        <v>1642</v>
      </c>
      <c r="N291" s="50">
        <v>1642</v>
      </c>
      <c r="O291" s="28"/>
      <c r="P291" s="37"/>
      <c r="Q291" s="28">
        <f>IF(OR(Table810[[#This Row],[Post-Review Decision]]="Include", Table810[[#This Row],[Post-Review Decision]]="Include if possible", Table810[[#This Row],[Post-Review Decision]]="Include (Omit % Avg if needed)",  Table810[[#This Row],[Post-Review Decision]]="Include (Omit % Avg)"),Table810[[#This Row],[EAR Total Capacity]],"")</f>
        <v>1729</v>
      </c>
      <c r="R291" s="28">
        <v>1548</v>
      </c>
      <c r="S291" s="46">
        <v>1729</v>
      </c>
      <c r="T291" s="28" t="s">
        <v>1424</v>
      </c>
      <c r="U291" s="28" t="s">
        <v>1425</v>
      </c>
      <c r="V291" s="13" t="s">
        <v>293</v>
      </c>
      <c r="W291" s="12" t="b">
        <f>ISNUMBER(Table810[[#This Row],[EAR Total Capacity]])</f>
        <v>1</v>
      </c>
      <c r="X291" s="12" t="b">
        <f>IF(Table810[[#This Row],[Has  Storage for Full Averaging Period?]]="OK",TRUE,FALSE)</f>
        <v>1</v>
      </c>
      <c r="Y291" s="12" t="b">
        <f>IFERROR(IF(YEAR(Table810[[#This Row],[RISE Storage End Date]])=2025,TRUE,FALSE),FALSE)</f>
        <v>1</v>
      </c>
      <c r="Z291" s="11" t="b">
        <v>0</v>
      </c>
      <c r="AA291" s="13">
        <v>288</v>
      </c>
      <c r="AB291" s="13" t="s">
        <v>76</v>
      </c>
      <c r="AC291" s="13" t="s">
        <v>1426</v>
      </c>
      <c r="AD291" s="13" t="s">
        <v>1424</v>
      </c>
      <c r="AE291" s="13" t="s">
        <v>78</v>
      </c>
      <c r="AF291" s="13" t="s">
        <v>1427</v>
      </c>
      <c r="AG291" s="13" t="s">
        <v>91</v>
      </c>
      <c r="AH291" s="13" t="s">
        <v>102</v>
      </c>
      <c r="AI291" s="13" t="s">
        <v>93</v>
      </c>
      <c r="AJ291" s="14">
        <v>1729</v>
      </c>
      <c r="AK291" s="18"/>
      <c r="AL291" s="18"/>
      <c r="AM291" s="13" t="s">
        <v>1428</v>
      </c>
      <c r="AN291" s="13" t="s">
        <v>63</v>
      </c>
      <c r="AO291" s="13" t="s">
        <v>1424</v>
      </c>
      <c r="AP291" s="13" t="s">
        <v>1424</v>
      </c>
      <c r="AQ291" s="21" t="s">
        <v>64</v>
      </c>
      <c r="AR291" s="26">
        <v>27394</v>
      </c>
      <c r="AS291" s="26">
        <v>46007</v>
      </c>
      <c r="AT291" s="25">
        <v>18615</v>
      </c>
      <c r="AU291" s="25" t="s">
        <v>65</v>
      </c>
      <c r="AV291" s="25" t="s">
        <v>65</v>
      </c>
      <c r="AW291" s="25" t="s">
        <v>65</v>
      </c>
      <c r="AX291" s="24"/>
    </row>
    <row r="292" spans="1:50" ht="16.5" customHeight="1">
      <c r="A292" s="36" t="s">
        <v>1429</v>
      </c>
      <c r="B292" s="55" t="s">
        <v>1430</v>
      </c>
      <c r="C292" s="28" t="s">
        <v>52</v>
      </c>
      <c r="D292" s="28" t="s">
        <v>590</v>
      </c>
      <c r="E292" s="28" t="s">
        <v>70</v>
      </c>
      <c r="F292" s="28">
        <v>421</v>
      </c>
      <c r="G292" s="28">
        <v>3</v>
      </c>
      <c r="H292" s="28" t="s">
        <v>284</v>
      </c>
      <c r="I292" s="28" t="s">
        <v>57</v>
      </c>
      <c r="J292" s="28"/>
      <c r="K292" s="33"/>
      <c r="L292" s="50" t="e">
        <v>#VALUE!</v>
      </c>
      <c r="M292" s="48"/>
      <c r="N292" s="50" t="e">
        <v>#VALUE!</v>
      </c>
      <c r="O292" s="28"/>
      <c r="P292" s="37" t="s">
        <v>1431</v>
      </c>
      <c r="Q292" s="28" t="str">
        <f>IF(OR(Table810[[#This Row],[Post-Review Decision]]="Include", Table810[[#This Row],[Post-Review Decision]]="Include if possible", Table810[[#This Row],[Post-Review Decision]]="Include (Omit % Avg if needed)",  Table810[[#This Row],[Post-Review Decision]]="Include (Omit % Avg)"),Table810[[#This Row],[EAR Total Capacity]],"")</f>
        <v>--</v>
      </c>
      <c r="R292" s="28"/>
      <c r="S292" s="45" t="s">
        <v>59</v>
      </c>
      <c r="T292" s="28" t="s">
        <v>1429</v>
      </c>
      <c r="U292" s="28" t="s">
        <v>1432</v>
      </c>
      <c r="V292" s="17" t="s">
        <v>61</v>
      </c>
      <c r="W292" s="12" t="b">
        <f>ISNUMBER(Table810[[#This Row],[EAR Total Capacity]])</f>
        <v>0</v>
      </c>
      <c r="X292" s="12" t="b">
        <f>IF(Table810[[#This Row],[Has  Storage for Full Averaging Period?]]="OK",TRUE,FALSE)</f>
        <v>1</v>
      </c>
      <c r="Y292" s="12" t="b">
        <f>IFERROR(IF(YEAR(Table810[[#This Row],[RISE Storage End Date]])=2025,TRUE,FALSE),FALSE)</f>
        <v>1</v>
      </c>
      <c r="Z292" s="11" t="b">
        <v>0</v>
      </c>
      <c r="AA292" s="16" t="s">
        <v>61</v>
      </c>
      <c r="AB292" s="17" t="s">
        <v>61</v>
      </c>
      <c r="AC292" s="17" t="s">
        <v>61</v>
      </c>
      <c r="AD292" s="17" t="s">
        <v>61</v>
      </c>
      <c r="AE292" s="17" t="s">
        <v>61</v>
      </c>
      <c r="AF292" s="17" t="s">
        <v>61</v>
      </c>
      <c r="AG292" s="17" t="s">
        <v>61</v>
      </c>
      <c r="AH292" s="17" t="s">
        <v>61</v>
      </c>
      <c r="AI292" s="17" t="s">
        <v>61</v>
      </c>
      <c r="AJ292" s="17" t="s">
        <v>61</v>
      </c>
      <c r="AK292" s="18"/>
      <c r="AL292" s="18"/>
      <c r="AM292" s="13" t="s">
        <v>1433</v>
      </c>
      <c r="AN292" s="11" t="s">
        <v>135</v>
      </c>
      <c r="AO292" s="11" t="s">
        <v>1429</v>
      </c>
      <c r="AP292" s="11" t="s">
        <v>1429</v>
      </c>
      <c r="AQ292" s="21" t="s">
        <v>64</v>
      </c>
      <c r="AR292" s="26">
        <v>32264</v>
      </c>
      <c r="AS292" s="26">
        <v>46007</v>
      </c>
      <c r="AT292" s="25">
        <v>12902</v>
      </c>
      <c r="AU292" s="25" t="s">
        <v>65</v>
      </c>
      <c r="AV292" s="25" t="s">
        <v>65</v>
      </c>
      <c r="AW292" s="25" t="s">
        <v>65</v>
      </c>
      <c r="AX292" s="23"/>
    </row>
    <row r="293" spans="1:50" ht="16.5" customHeight="1">
      <c r="A293" s="36" t="s">
        <v>1434</v>
      </c>
      <c r="B293" s="28" t="s">
        <v>68</v>
      </c>
      <c r="C293" s="28" t="s">
        <v>86</v>
      </c>
      <c r="D293" s="28"/>
      <c r="E293" s="28" t="s">
        <v>70</v>
      </c>
      <c r="F293" s="28">
        <v>422</v>
      </c>
      <c r="G293" s="28">
        <v>3</v>
      </c>
      <c r="H293" s="28" t="str">
        <f>IF(ISNUMBER(Table810[[#This Row],[Total Capacity]]),"USBR Enterprise Asset Registry",IF(Table810[[#This Row],[Total Capacity]]="",""))</f>
        <v>USBR Enterprise Asset Registry</v>
      </c>
      <c r="I293" s="28" t="s">
        <v>57</v>
      </c>
      <c r="J293" s="28"/>
      <c r="K293" s="28"/>
      <c r="L293" s="50">
        <v>8760</v>
      </c>
      <c r="M293" s="48"/>
      <c r="N293" s="50">
        <v>8760</v>
      </c>
      <c r="O293" s="28"/>
      <c r="P293" s="37"/>
      <c r="Q293" s="28">
        <f>IF(OR(Table810[[#This Row],[Post-Review Decision]]="Include", Table810[[#This Row],[Post-Review Decision]]="Include if possible", Table810[[#This Row],[Post-Review Decision]]="Include (Omit % Avg if needed)",  Table810[[#This Row],[Post-Review Decision]]="Include (Omit % Avg)"),Table810[[#This Row],[EAR Total Capacity]],"")</f>
        <v>8760</v>
      </c>
      <c r="R293" s="28">
        <v>2800</v>
      </c>
      <c r="S293" s="46">
        <v>6960</v>
      </c>
      <c r="T293" s="28" t="s">
        <v>1435</v>
      </c>
      <c r="U293" s="28" t="s">
        <v>1436</v>
      </c>
      <c r="V293" s="13" t="s">
        <v>780</v>
      </c>
      <c r="W293" s="12" t="b">
        <f>ISNUMBER(Table810[[#This Row],[EAR Total Capacity]])</f>
        <v>1</v>
      </c>
      <c r="X293" s="12" t="b">
        <f>IF(Table810[[#This Row],[Has  Storage for Full Averaging Period?]]="OK",TRUE,FALSE)</f>
        <v>1</v>
      </c>
      <c r="Y293" s="12" t="b">
        <f>IFERROR(IF(YEAR(Table810[[#This Row],[RISE Storage End Date]])=2025,TRUE,FALSE),FALSE)</f>
        <v>1</v>
      </c>
      <c r="Z293" s="11" t="b">
        <v>0</v>
      </c>
      <c r="AA293" s="13">
        <v>224</v>
      </c>
      <c r="AB293" s="13" t="s">
        <v>76</v>
      </c>
      <c r="AC293" s="13" t="s">
        <v>1437</v>
      </c>
      <c r="AD293" s="13" t="s">
        <v>1434</v>
      </c>
      <c r="AE293" s="13" t="s">
        <v>78</v>
      </c>
      <c r="AF293" s="13" t="s">
        <v>1438</v>
      </c>
      <c r="AG293" s="13" t="s">
        <v>159</v>
      </c>
      <c r="AH293" s="13" t="s">
        <v>160</v>
      </c>
      <c r="AI293" s="13" t="s">
        <v>103</v>
      </c>
      <c r="AJ293" s="13">
        <v>8760</v>
      </c>
      <c r="AK293" s="18"/>
      <c r="AL293" s="18"/>
      <c r="AM293" s="13" t="s">
        <v>1439</v>
      </c>
      <c r="AN293" s="13" t="s">
        <v>246</v>
      </c>
      <c r="AO293" s="13" t="s">
        <v>1434</v>
      </c>
      <c r="AP293" s="13" t="s">
        <v>1434</v>
      </c>
      <c r="AQ293" s="21" t="s">
        <v>64</v>
      </c>
      <c r="AR293" s="26">
        <v>27668</v>
      </c>
      <c r="AS293" s="26">
        <v>46007</v>
      </c>
      <c r="AT293" s="25">
        <v>18341</v>
      </c>
      <c r="AU293" s="25" t="s">
        <v>65</v>
      </c>
      <c r="AV293" s="25" t="s">
        <v>65</v>
      </c>
      <c r="AW293" s="25" t="s">
        <v>65</v>
      </c>
      <c r="AX293" s="24"/>
    </row>
    <row r="294" spans="1:50" ht="16.5" customHeight="1">
      <c r="A294" s="36" t="s">
        <v>1440</v>
      </c>
      <c r="B294" s="28" t="s">
        <v>68</v>
      </c>
      <c r="C294" s="28" t="s">
        <v>86</v>
      </c>
      <c r="D294" s="28"/>
      <c r="E294" s="28" t="s">
        <v>70</v>
      </c>
      <c r="F294" s="28">
        <v>423</v>
      </c>
      <c r="G294" s="28">
        <v>3</v>
      </c>
      <c r="H294" s="28" t="str">
        <f>IF(ISNUMBER(Table810[[#This Row],[Total Capacity]]),"USBR Enterprise Asset Registry",IF(Table810[[#This Row],[Total Capacity]]="",""))</f>
        <v>USBR Enterprise Asset Registry</v>
      </c>
      <c r="I294" s="28" t="s">
        <v>57</v>
      </c>
      <c r="J294" s="28"/>
      <c r="K294" s="28"/>
      <c r="L294" s="50">
        <v>1713900</v>
      </c>
      <c r="M294" s="48"/>
      <c r="N294" s="50">
        <v>1713900</v>
      </c>
      <c r="O294" s="28"/>
      <c r="P294" s="37"/>
      <c r="Q294" s="28">
        <f>IF(OR(Table810[[#This Row],[Post-Review Decision]]="Include", Table810[[#This Row],[Post-Review Decision]]="Include if possible", Table810[[#This Row],[Post-Review Decision]]="Include (Omit % Avg if needed)",  Table810[[#This Row],[Post-Review Decision]]="Include (Omit % Avg)"),Table810[[#This Row],[EAR Total Capacity]],"")</f>
        <v>1713900</v>
      </c>
      <c r="R294" s="28">
        <v>1039500</v>
      </c>
      <c r="S294" s="46">
        <v>1701300</v>
      </c>
      <c r="T294" s="28" t="s">
        <v>1440</v>
      </c>
      <c r="U294" s="28" t="s">
        <v>1441</v>
      </c>
      <c r="V294" s="13" t="s">
        <v>1442</v>
      </c>
      <c r="W294" s="12" t="b">
        <f>ISNUMBER(Table810[[#This Row],[EAR Total Capacity]])</f>
        <v>1</v>
      </c>
      <c r="X294" s="12" t="b">
        <f>IF(Table810[[#This Row],[Has  Storage for Full Averaging Period?]]="OK",TRUE,FALSE)</f>
        <v>1</v>
      </c>
      <c r="Y294" s="12" t="b">
        <f>IFERROR(IF(YEAR(Table810[[#This Row],[RISE Storage End Date]])=2025,TRUE,FALSE),FALSE)</f>
        <v>1</v>
      </c>
      <c r="Z294" s="11" t="b">
        <v>0</v>
      </c>
      <c r="AA294" s="13">
        <v>289</v>
      </c>
      <c r="AB294" s="13" t="s">
        <v>76</v>
      </c>
      <c r="AC294" s="13" t="s">
        <v>1443</v>
      </c>
      <c r="AD294" s="13" t="s">
        <v>1440</v>
      </c>
      <c r="AE294" s="13" t="s">
        <v>78</v>
      </c>
      <c r="AF294" s="13" t="s">
        <v>1444</v>
      </c>
      <c r="AG294" s="13" t="s">
        <v>91</v>
      </c>
      <c r="AH294" s="13" t="s">
        <v>102</v>
      </c>
      <c r="AI294" s="13" t="s">
        <v>93</v>
      </c>
      <c r="AJ294" s="14">
        <v>1713900</v>
      </c>
      <c r="AK294" s="18"/>
      <c r="AL294" s="18"/>
      <c r="AM294" s="13" t="s">
        <v>1445</v>
      </c>
      <c r="AN294" s="13" t="s">
        <v>63</v>
      </c>
      <c r="AO294" s="13" t="s">
        <v>1440</v>
      </c>
      <c r="AP294" s="13" t="s">
        <v>1440</v>
      </c>
      <c r="AQ294" s="21" t="s">
        <v>64</v>
      </c>
      <c r="AR294" s="26">
        <v>22828</v>
      </c>
      <c r="AS294" s="26">
        <v>46007</v>
      </c>
      <c r="AT294" s="25">
        <v>23181</v>
      </c>
      <c r="AU294" s="25" t="s">
        <v>65</v>
      </c>
      <c r="AV294" s="25" t="s">
        <v>65</v>
      </c>
      <c r="AW294" s="25" t="s">
        <v>65</v>
      </c>
      <c r="AX294" s="24"/>
    </row>
    <row r="295" spans="1:50" ht="16.5" customHeight="1">
      <c r="A295" s="36" t="s">
        <v>1446</v>
      </c>
      <c r="B295" s="28" t="s">
        <v>68</v>
      </c>
      <c r="C295" s="28" t="s">
        <v>86</v>
      </c>
      <c r="D295" s="28"/>
      <c r="E295" s="28" t="s">
        <v>70</v>
      </c>
      <c r="F295" s="28">
        <v>424</v>
      </c>
      <c r="G295" s="28">
        <v>3</v>
      </c>
      <c r="H295" s="28" t="str">
        <f>IF(ISNUMBER(Table810[[#This Row],[Total Capacity]]),"USBR Enterprise Asset Registry",IF(Table810[[#This Row],[Total Capacity]]="",""))</f>
        <v>USBR Enterprise Asset Registry</v>
      </c>
      <c r="I295" s="28" t="s">
        <v>57</v>
      </c>
      <c r="J295" s="28" t="s">
        <v>72</v>
      </c>
      <c r="K295" s="28"/>
      <c r="L295" s="50">
        <v>78950</v>
      </c>
      <c r="M295" s="48"/>
      <c r="N295" s="50">
        <v>78950</v>
      </c>
      <c r="O295" s="28"/>
      <c r="P295" s="37"/>
      <c r="Q295" s="28">
        <f>IF(OR(Table810[[#This Row],[Post-Review Decision]]="Include", Table810[[#This Row],[Post-Review Decision]]="Include if possible", Table810[[#This Row],[Post-Review Decision]]="Include (Omit % Avg if needed)",  Table810[[#This Row],[Post-Review Decision]]="Include (Omit % Avg)"),Table810[[#This Row],[EAR Total Capacity]],"")</f>
        <v>78950</v>
      </c>
      <c r="R295" s="28">
        <v>60810</v>
      </c>
      <c r="S295" s="46">
        <v>60810</v>
      </c>
      <c r="T295" s="28" t="s">
        <v>1447</v>
      </c>
      <c r="U295" s="28" t="s">
        <v>1448</v>
      </c>
      <c r="V295" s="13" t="s">
        <v>656</v>
      </c>
      <c r="W295" s="12" t="b">
        <f>ISNUMBER(Table810[[#This Row],[EAR Total Capacity]])</f>
        <v>1</v>
      </c>
      <c r="X295" s="12" t="b">
        <f>IF(Table810[[#This Row],[Has  Storage for Full Averaging Period?]]="OK",TRUE,FALSE)</f>
        <v>1</v>
      </c>
      <c r="Y295" s="12" t="b">
        <f>IFERROR(IF(YEAR(Table810[[#This Row],[RISE Storage End Date]])=2025,TRUE,FALSE),FALSE)</f>
        <v>1</v>
      </c>
      <c r="Z295" s="11" t="b">
        <v>0</v>
      </c>
      <c r="AA295" s="13">
        <v>290</v>
      </c>
      <c r="AB295" s="13" t="s">
        <v>76</v>
      </c>
      <c r="AC295" s="13" t="s">
        <v>1449</v>
      </c>
      <c r="AD295" s="13" t="s">
        <v>1446</v>
      </c>
      <c r="AE295" s="13" t="s">
        <v>78</v>
      </c>
      <c r="AF295" s="13" t="s">
        <v>1450</v>
      </c>
      <c r="AG295" s="13" t="s">
        <v>109</v>
      </c>
      <c r="AH295" s="13" t="s">
        <v>92</v>
      </c>
      <c r="AI295" s="13" t="s">
        <v>82</v>
      </c>
      <c r="AJ295" s="14">
        <v>78950</v>
      </c>
      <c r="AK295" s="18"/>
      <c r="AL295" s="18"/>
      <c r="AM295" s="13" t="s">
        <v>1451</v>
      </c>
      <c r="AN295" s="13" t="s">
        <v>95</v>
      </c>
      <c r="AO295" s="13" t="s">
        <v>1446</v>
      </c>
      <c r="AP295" s="13" t="e">
        <v>#N/A</v>
      </c>
      <c r="AQ295" s="21" t="s">
        <v>64</v>
      </c>
      <c r="AR295" s="26">
        <v>17106</v>
      </c>
      <c r="AS295" s="26">
        <v>46007</v>
      </c>
      <c r="AT295" s="25">
        <v>16074</v>
      </c>
      <c r="AU295" s="25" t="s">
        <v>65</v>
      </c>
      <c r="AV295" s="25" t="s">
        <v>65</v>
      </c>
      <c r="AW295" s="25" t="s">
        <v>65</v>
      </c>
      <c r="AX295" s="24"/>
    </row>
    <row r="296" spans="1:50" ht="16.5" customHeight="1">
      <c r="A296" s="36" t="s">
        <v>1452</v>
      </c>
      <c r="B296" s="28"/>
      <c r="C296" s="28" t="s">
        <v>97</v>
      </c>
      <c r="D296" s="28"/>
      <c r="E296" s="28"/>
      <c r="F296" s="28" t="s">
        <v>61</v>
      </c>
      <c r="G296" s="28"/>
      <c r="H296" s="28" t="str">
        <f>IF(ISNUMBER(Table810[[#This Row],[Total Capacity]]),"USBR Enterprise Asset Registry",IF(Table810[[#This Row],[Total Capacity]]="",""))</f>
        <v/>
      </c>
      <c r="I296" s="28"/>
      <c r="J296" s="28"/>
      <c r="K296" s="28"/>
      <c r="L296" s="50" t="s">
        <v>98</v>
      </c>
      <c r="M296" s="48"/>
      <c r="N296" s="50" t="s">
        <v>98</v>
      </c>
      <c r="O296" s="28"/>
      <c r="P296" s="37"/>
      <c r="Q296" s="28" t="str">
        <f>IF(OR(Table810[[#This Row],[Post-Review Decision]]="Include", Table810[[#This Row],[Post-Review Decision]]="Include if possible", Table810[[#This Row],[Post-Review Decision]]="Include (Omit % Avg if needed)",  Table810[[#This Row],[Post-Review Decision]]="Include (Omit % Avg)"),Table810[[#This Row],[EAR Total Capacity]],"")</f>
        <v/>
      </c>
      <c r="R296" s="28"/>
      <c r="S296" s="45">
        <v>0</v>
      </c>
      <c r="T296" s="28"/>
      <c r="U296" s="28"/>
      <c r="V296" s="13" t="s">
        <v>341</v>
      </c>
      <c r="W296" s="12" t="b">
        <f>ISNUMBER(Table810[[#This Row],[EAR Total Capacity]])</f>
        <v>0</v>
      </c>
      <c r="X296" s="12" t="b">
        <f>IF(Table810[[#This Row],[Has  Storage for Full Averaging Period?]]="OK",TRUE,FALSE)</f>
        <v>0</v>
      </c>
      <c r="Y296" s="12" t="b">
        <f>IFERROR(IF(YEAR(Table810[[#This Row],[RISE Storage End Date]])=2025,TRUE,FALSE),FALSE)</f>
        <v>0</v>
      </c>
      <c r="Z296" s="11" t="b">
        <v>0</v>
      </c>
      <c r="AA296" s="13">
        <v>291</v>
      </c>
      <c r="AB296" s="13" t="s">
        <v>76</v>
      </c>
      <c r="AC296" s="13" t="s">
        <v>1453</v>
      </c>
      <c r="AD296" s="13" t="s">
        <v>1452</v>
      </c>
      <c r="AE296" s="13" t="s">
        <v>343</v>
      </c>
      <c r="AF296" s="13" t="s">
        <v>344</v>
      </c>
      <c r="AG296" s="13" t="s">
        <v>109</v>
      </c>
      <c r="AH296" s="13" t="s">
        <v>92</v>
      </c>
      <c r="AI296" s="13" t="s">
        <v>110</v>
      </c>
      <c r="AJ296" s="14"/>
      <c r="AK296" s="15"/>
      <c r="AL296" s="15"/>
      <c r="AM296" s="15" t="s">
        <v>61</v>
      </c>
      <c r="AN296" s="15" t="s">
        <v>61</v>
      </c>
      <c r="AO296" s="15" t="s">
        <v>61</v>
      </c>
      <c r="AP296" s="15" t="s">
        <v>61</v>
      </c>
      <c r="AQ296" s="21" t="s">
        <v>136</v>
      </c>
      <c r="AR296" s="25"/>
      <c r="AS296" s="25"/>
      <c r="AT296" s="25"/>
      <c r="AU296" s="25"/>
      <c r="AV296" s="25"/>
      <c r="AW296" s="25"/>
      <c r="AX296" s="24"/>
    </row>
    <row r="297" spans="1:50" ht="16.5" customHeight="1">
      <c r="A297" s="36" t="s">
        <v>1454</v>
      </c>
      <c r="B297" s="28" t="s">
        <v>68</v>
      </c>
      <c r="C297" s="28" t="s">
        <v>86</v>
      </c>
      <c r="D297" s="28"/>
      <c r="E297" s="28" t="s">
        <v>70</v>
      </c>
      <c r="F297" s="28">
        <v>3204</v>
      </c>
      <c r="G297" s="28">
        <v>3</v>
      </c>
      <c r="H297" s="28" t="str">
        <f>IF(ISNUMBER(Table810[[#This Row],[Total Capacity]]),"USBR Enterprise Asset Registry",IF(Table810[[#This Row],[Total Capacity]]="",""))</f>
        <v>USBR Enterprise Asset Registry</v>
      </c>
      <c r="I297" s="28" t="s">
        <v>57</v>
      </c>
      <c r="J297" s="28"/>
      <c r="K297" s="28"/>
      <c r="L297" s="50">
        <v>2400000</v>
      </c>
      <c r="M297" s="48"/>
      <c r="N297" s="50">
        <v>2400000</v>
      </c>
      <c r="O297" s="28"/>
      <c r="P297" s="37"/>
      <c r="Q297" s="28">
        <f>IF(OR(Table810[[#This Row],[Post-Review Decision]]="Include", Table810[[#This Row],[Post-Review Decision]]="Include if possible", Table810[[#This Row],[Post-Review Decision]]="Include (Omit % Avg if needed)",  Table810[[#This Row],[Post-Review Decision]]="Include (Omit % Avg)"),Table810[[#This Row],[EAR Total Capacity]],"")</f>
        <v>2400000</v>
      </c>
      <c r="R297" s="28"/>
      <c r="S297" s="45">
        <v>0</v>
      </c>
      <c r="T297" s="28" t="s">
        <v>1454</v>
      </c>
      <c r="U297" s="28" t="s">
        <v>1455</v>
      </c>
      <c r="V297" s="13" t="s">
        <v>1456</v>
      </c>
      <c r="W297" s="12" t="b">
        <f>ISNUMBER(Table810[[#This Row],[EAR Total Capacity]])</f>
        <v>1</v>
      </c>
      <c r="X297" s="12" t="b">
        <f>IF(Table810[[#This Row],[Has  Storage for Full Averaging Period?]]="OK",TRUE,FALSE)</f>
        <v>1</v>
      </c>
      <c r="Y297" s="12" t="b">
        <f>IFERROR(IF(YEAR(Table810[[#This Row],[RISE Storage End Date]])=2025,TRUE,FALSE),FALSE)</f>
        <v>1</v>
      </c>
      <c r="Z297" s="11" t="b">
        <v>0</v>
      </c>
      <c r="AA297" s="13">
        <v>292</v>
      </c>
      <c r="AB297" s="13" t="s">
        <v>76</v>
      </c>
      <c r="AC297" s="13" t="s">
        <v>1457</v>
      </c>
      <c r="AD297" s="13" t="s">
        <v>1454</v>
      </c>
      <c r="AE297" s="13" t="s">
        <v>78</v>
      </c>
      <c r="AF297" s="13" t="s">
        <v>1458</v>
      </c>
      <c r="AG297" s="13" t="s">
        <v>159</v>
      </c>
      <c r="AH297" s="13" t="s">
        <v>160</v>
      </c>
      <c r="AI297" s="13" t="s">
        <v>93</v>
      </c>
      <c r="AJ297" s="13">
        <v>2400000</v>
      </c>
      <c r="AK297" s="18"/>
      <c r="AL297" s="18"/>
      <c r="AM297" s="13" t="s">
        <v>1459</v>
      </c>
      <c r="AN297" s="13" t="s">
        <v>246</v>
      </c>
      <c r="AO297" s="13" t="s">
        <v>1454</v>
      </c>
      <c r="AP297" s="13" t="s">
        <v>1454</v>
      </c>
      <c r="AQ297" s="21" t="s">
        <v>64</v>
      </c>
      <c r="AR297" s="26">
        <v>15980</v>
      </c>
      <c r="AS297" s="26">
        <v>46007</v>
      </c>
      <c r="AT297" s="25">
        <v>30020</v>
      </c>
      <c r="AU297" s="25" t="s">
        <v>65</v>
      </c>
      <c r="AV297" s="25" t="s">
        <v>65</v>
      </c>
      <c r="AW297" s="25" t="s">
        <v>65</v>
      </c>
      <c r="AX297" s="24"/>
    </row>
    <row r="298" spans="1:50" ht="16.5" customHeight="1">
      <c r="A298" s="36" t="s">
        <v>1460</v>
      </c>
      <c r="B298" s="28" t="s">
        <v>68</v>
      </c>
      <c r="C298" s="28" t="s">
        <v>86</v>
      </c>
      <c r="D298" s="28"/>
      <c r="E298" s="28" t="s">
        <v>70</v>
      </c>
      <c r="F298" s="28">
        <v>425</v>
      </c>
      <c r="G298" s="28">
        <v>3</v>
      </c>
      <c r="H298" s="28" t="str">
        <f>IF(ISNUMBER(Table810[[#This Row],[Total Capacity]]),"USBR Enterprise Asset Registry",IF(Table810[[#This Row],[Total Capacity]]="",""))</f>
        <v>USBR Enterprise Asset Registry</v>
      </c>
      <c r="I298" s="28" t="s">
        <v>257</v>
      </c>
      <c r="J298" s="28" t="s">
        <v>72</v>
      </c>
      <c r="K298" s="28"/>
      <c r="L298" s="50">
        <v>5374</v>
      </c>
      <c r="M298" s="48"/>
      <c r="N298" s="50">
        <v>5374</v>
      </c>
      <c r="O298" s="28"/>
      <c r="P298" s="37"/>
      <c r="Q298" s="28">
        <f>IF(OR(Table810[[#This Row],[Post-Review Decision]]="Include", Table810[[#This Row],[Post-Review Decision]]="Include if possible", Table810[[#This Row],[Post-Review Decision]]="Include (Omit % Avg if needed)",  Table810[[#This Row],[Post-Review Decision]]="Include (Omit % Avg)"),Table810[[#This Row],[EAR Total Capacity]],"")</f>
        <v>5594</v>
      </c>
      <c r="R298" s="28">
        <v>5374</v>
      </c>
      <c r="S298" s="46">
        <v>5374</v>
      </c>
      <c r="T298" s="28" t="s">
        <v>1460</v>
      </c>
      <c r="U298" s="28" t="s">
        <v>1461</v>
      </c>
      <c r="V298" s="13" t="s">
        <v>1462</v>
      </c>
      <c r="W298" s="12" t="b">
        <f>ISNUMBER(Table810[[#This Row],[EAR Total Capacity]])</f>
        <v>1</v>
      </c>
      <c r="X298" s="12" t="b">
        <f>IF(Table810[[#This Row],[Has  Storage for Full Averaging Period?]]="OK",TRUE,FALSE)</f>
        <v>1</v>
      </c>
      <c r="Y298" s="12" t="b">
        <f>IFERROR(IF(YEAR(Table810[[#This Row],[RISE Storage End Date]])=2025,TRUE,FALSE),FALSE)</f>
        <v>1</v>
      </c>
      <c r="Z298" s="11" t="b">
        <v>0</v>
      </c>
      <c r="AA298" s="13">
        <v>294</v>
      </c>
      <c r="AB298" s="13" t="s">
        <v>76</v>
      </c>
      <c r="AC298" s="13" t="s">
        <v>1463</v>
      </c>
      <c r="AD298" s="13" t="s">
        <v>1460</v>
      </c>
      <c r="AE298" s="13" t="s">
        <v>78</v>
      </c>
      <c r="AF298" s="13" t="s">
        <v>1464</v>
      </c>
      <c r="AG298" s="13" t="s">
        <v>91</v>
      </c>
      <c r="AH298" s="13" t="s">
        <v>102</v>
      </c>
      <c r="AI298" s="13" t="s">
        <v>93</v>
      </c>
      <c r="AJ298" s="14">
        <v>5594</v>
      </c>
      <c r="AK298" s="18"/>
      <c r="AL298" s="18"/>
      <c r="AM298" s="13" t="s">
        <v>1465</v>
      </c>
      <c r="AN298" s="13" t="s">
        <v>63</v>
      </c>
      <c r="AO298" s="13" t="s">
        <v>1460</v>
      </c>
      <c r="AP298" s="13" t="s">
        <v>1460</v>
      </c>
      <c r="AQ298" s="21" t="s">
        <v>64</v>
      </c>
      <c r="AR298" s="26">
        <v>27060</v>
      </c>
      <c r="AS298" s="26">
        <v>46007</v>
      </c>
      <c r="AT298" s="25">
        <v>18949</v>
      </c>
      <c r="AU298" s="25" t="s">
        <v>65</v>
      </c>
      <c r="AV298" s="25" t="s">
        <v>65</v>
      </c>
      <c r="AW298" s="25" t="s">
        <v>65</v>
      </c>
      <c r="AX298" s="24"/>
    </row>
    <row r="299" spans="1:50" ht="16.5" customHeight="1">
      <c r="A299" s="36" t="s">
        <v>1466</v>
      </c>
      <c r="B299" s="28" t="s">
        <v>68</v>
      </c>
      <c r="C299" s="28" t="s">
        <v>321</v>
      </c>
      <c r="D299" s="28"/>
      <c r="E299" s="28" t="s">
        <v>70</v>
      </c>
      <c r="F299" s="28">
        <v>392</v>
      </c>
      <c r="G299" s="28">
        <v>3</v>
      </c>
      <c r="H299" s="28" t="str">
        <f>IF(ISNUMBER(Table810[[#This Row],[Total Capacity]]),"USBR Enterprise Asset Registry",IF(Table810[[#This Row],[Total Capacity]]="",""))</f>
        <v>USBR Enterprise Asset Registry</v>
      </c>
      <c r="I299" s="28" t="s">
        <v>57</v>
      </c>
      <c r="J299" s="28" t="s">
        <v>72</v>
      </c>
      <c r="K299" s="28"/>
      <c r="L299" s="50">
        <v>123541</v>
      </c>
      <c r="M299" s="48"/>
      <c r="N299" s="50">
        <v>123541</v>
      </c>
      <c r="O299" s="28"/>
      <c r="P299" s="37"/>
      <c r="Q299" s="28">
        <f>IF(OR(Table810[[#This Row],[Post-Review Decision]]="Include", Table810[[#This Row],[Post-Review Decision]]="Include if possible", Table810[[#This Row],[Post-Review Decision]]="Include (Omit % Avg if needed)",  Table810[[#This Row],[Post-Review Decision]]="Include (Omit % Avg)"),Table810[[#This Row],[EAR Total Capacity]],"")</f>
        <v>123541</v>
      </c>
      <c r="R299" s="28">
        <v>93541</v>
      </c>
      <c r="S299" s="46">
        <v>115074</v>
      </c>
      <c r="T299" s="28" t="s">
        <v>1467</v>
      </c>
      <c r="U299" s="28" t="s">
        <v>1468</v>
      </c>
      <c r="V299" s="13" t="s">
        <v>1469</v>
      </c>
      <c r="W299" s="12" t="b">
        <f>ISNUMBER(Table810[[#This Row],[EAR Total Capacity]])</f>
        <v>1</v>
      </c>
      <c r="X299" s="12" t="b">
        <f>IF(Table810[[#This Row],[Has  Storage for Full Averaging Period?]]="OK",TRUE,FALSE)</f>
        <v>0</v>
      </c>
      <c r="Y299" s="12" t="b">
        <f>IFERROR(IF(YEAR(Table810[[#This Row],[RISE Storage End Date]])=2025,TRUE,FALSE),FALSE)</f>
        <v>1</v>
      </c>
      <c r="Z299" s="11" t="b">
        <v>0</v>
      </c>
      <c r="AA299" s="13">
        <v>225</v>
      </c>
      <c r="AB299" s="13" t="s">
        <v>76</v>
      </c>
      <c r="AC299" s="13" t="s">
        <v>1470</v>
      </c>
      <c r="AD299" s="13" t="s">
        <v>1466</v>
      </c>
      <c r="AE299" s="13" t="s">
        <v>78</v>
      </c>
      <c r="AF299" s="13" t="s">
        <v>1471</v>
      </c>
      <c r="AG299" s="13" t="s">
        <v>91</v>
      </c>
      <c r="AH299" s="13" t="s">
        <v>102</v>
      </c>
      <c r="AI299" s="13" t="s">
        <v>82</v>
      </c>
      <c r="AJ299" s="14">
        <v>123541</v>
      </c>
      <c r="AK299" s="18"/>
      <c r="AL299" s="18"/>
      <c r="AM299" s="13" t="s">
        <v>1472</v>
      </c>
      <c r="AN299" s="13" t="s">
        <v>63</v>
      </c>
      <c r="AO299" s="13" t="s">
        <v>1466</v>
      </c>
      <c r="AP299" s="13" t="s">
        <v>1473</v>
      </c>
      <c r="AQ299" s="21" t="s">
        <v>64</v>
      </c>
      <c r="AR299" s="26">
        <v>39973</v>
      </c>
      <c r="AS299" s="26">
        <v>46007</v>
      </c>
      <c r="AT299" s="25">
        <v>6036</v>
      </c>
      <c r="AU299" s="25" t="s">
        <v>66</v>
      </c>
      <c r="AV299" s="25" t="s">
        <v>65</v>
      </c>
      <c r="AW299" s="25" t="s">
        <v>66</v>
      </c>
      <c r="AX299" s="24"/>
    </row>
    <row r="300" spans="1:50" ht="16.5" customHeight="1">
      <c r="A300" s="36" t="s">
        <v>1474</v>
      </c>
      <c r="B300" s="28"/>
      <c r="C300" s="28" t="s">
        <v>97</v>
      </c>
      <c r="D300" s="28"/>
      <c r="E300" s="28"/>
      <c r="F300" s="28" t="s">
        <v>61</v>
      </c>
      <c r="G300" s="28"/>
      <c r="H300" s="28" t="str">
        <f>IF(ISNUMBER(Table810[[#This Row],[Total Capacity]]),"USBR Enterprise Asset Registry",IF(Table810[[#This Row],[Total Capacity]]="",""))</f>
        <v/>
      </c>
      <c r="I300" s="28"/>
      <c r="J300" s="28"/>
      <c r="K300" s="28"/>
      <c r="L300" s="50" t="s">
        <v>98</v>
      </c>
      <c r="M300" s="48"/>
      <c r="N300" s="50" t="s">
        <v>98</v>
      </c>
      <c r="O300" s="28"/>
      <c r="P300" s="37"/>
      <c r="Q300" s="28" t="str">
        <f>IF(OR(Table810[[#This Row],[Post-Review Decision]]="Include", Table810[[#This Row],[Post-Review Decision]]="Include if possible", Table810[[#This Row],[Post-Review Decision]]="Include (Omit % Avg if needed)",  Table810[[#This Row],[Post-Review Decision]]="Include (Omit % Avg)"),Table810[[#This Row],[EAR Total Capacity]],"")</f>
        <v/>
      </c>
      <c r="R300" s="28"/>
      <c r="S300" s="45">
        <v>0</v>
      </c>
      <c r="T300" s="28"/>
      <c r="U300" s="28"/>
      <c r="V300" s="13" t="s">
        <v>442</v>
      </c>
      <c r="W300" s="12" t="b">
        <f>ISNUMBER(Table810[[#This Row],[EAR Total Capacity]])</f>
        <v>0</v>
      </c>
      <c r="X300" s="12" t="b">
        <f>IF(Table810[[#This Row],[Has  Storage for Full Averaging Period?]]="OK",TRUE,FALSE)</f>
        <v>0</v>
      </c>
      <c r="Y300" s="12" t="b">
        <f>IFERROR(IF(YEAR(Table810[[#This Row],[RISE Storage End Date]])=2025,TRUE,FALSE),FALSE)</f>
        <v>0</v>
      </c>
      <c r="Z300" s="11" t="b">
        <v>0</v>
      </c>
      <c r="AA300" s="13">
        <v>295</v>
      </c>
      <c r="AB300" s="13" t="s">
        <v>76</v>
      </c>
      <c r="AC300" s="13" t="s">
        <v>1475</v>
      </c>
      <c r="AD300" s="13" t="s">
        <v>1474</v>
      </c>
      <c r="AE300" s="13" t="s">
        <v>101</v>
      </c>
      <c r="AF300" s="13" t="s">
        <v>1476</v>
      </c>
      <c r="AG300" s="13" t="s">
        <v>91</v>
      </c>
      <c r="AH300" s="13" t="s">
        <v>92</v>
      </c>
      <c r="AI300" s="13" t="s">
        <v>103</v>
      </c>
      <c r="AJ300" s="14"/>
      <c r="AK300" s="15"/>
      <c r="AL300" s="15"/>
      <c r="AM300" s="15" t="s">
        <v>61</v>
      </c>
      <c r="AN300" s="15" t="s">
        <v>61</v>
      </c>
      <c r="AO300" s="15" t="s">
        <v>61</v>
      </c>
      <c r="AP300" s="15" t="s">
        <v>61</v>
      </c>
      <c r="AQ300" s="22"/>
      <c r="AR300" s="25"/>
      <c r="AS300" s="25"/>
      <c r="AT300" s="25"/>
      <c r="AU300" s="25"/>
      <c r="AV300" s="25"/>
      <c r="AW300" s="25"/>
      <c r="AX300" s="24"/>
    </row>
    <row r="301" spans="1:50" ht="16.5" customHeight="1">
      <c r="A301" s="36" t="s">
        <v>1477</v>
      </c>
      <c r="B301" s="28"/>
      <c r="C301" s="28" t="s">
        <v>97</v>
      </c>
      <c r="D301" s="28"/>
      <c r="E301" s="28"/>
      <c r="F301" s="28" t="s">
        <v>61</v>
      </c>
      <c r="G301" s="28"/>
      <c r="H301" s="28" t="str">
        <f>IF(ISNUMBER(Table810[[#This Row],[Total Capacity]]),"USBR Enterprise Asset Registry",IF(Table810[[#This Row],[Total Capacity]]="",""))</f>
        <v/>
      </c>
      <c r="I301" s="28"/>
      <c r="J301" s="28"/>
      <c r="K301" s="28"/>
      <c r="L301" s="50" t="s">
        <v>98</v>
      </c>
      <c r="M301" s="48"/>
      <c r="N301" s="50" t="s">
        <v>98</v>
      </c>
      <c r="O301" s="28"/>
      <c r="P301" s="37"/>
      <c r="Q301" s="28" t="str">
        <f>IF(OR(Table810[[#This Row],[Post-Review Decision]]="Include", Table810[[#This Row],[Post-Review Decision]]="Include if possible", Table810[[#This Row],[Post-Review Decision]]="Include (Omit % Avg if needed)",  Table810[[#This Row],[Post-Review Decision]]="Include (Omit % Avg)"),Table810[[#This Row],[EAR Total Capacity]],"")</f>
        <v/>
      </c>
      <c r="R301" s="28"/>
      <c r="S301" s="45">
        <v>0</v>
      </c>
      <c r="T301" s="28"/>
      <c r="U301" s="28"/>
      <c r="V301" s="13" t="s">
        <v>442</v>
      </c>
      <c r="W301" s="12" t="b">
        <f>ISNUMBER(Table810[[#This Row],[EAR Total Capacity]])</f>
        <v>0</v>
      </c>
      <c r="X301" s="12" t="b">
        <f>IF(Table810[[#This Row],[Has  Storage for Full Averaging Period?]]="OK",TRUE,FALSE)</f>
        <v>0</v>
      </c>
      <c r="Y301" s="12" t="b">
        <f>IFERROR(IF(YEAR(Table810[[#This Row],[RISE Storage End Date]])=2025,TRUE,FALSE),FALSE)</f>
        <v>0</v>
      </c>
      <c r="Z301" s="11" t="b">
        <v>0</v>
      </c>
      <c r="AA301" s="13">
        <v>296</v>
      </c>
      <c r="AB301" s="13" t="s">
        <v>76</v>
      </c>
      <c r="AC301" s="13" t="s">
        <v>1478</v>
      </c>
      <c r="AD301" s="13" t="s">
        <v>1477</v>
      </c>
      <c r="AE301" s="13" t="s">
        <v>101</v>
      </c>
      <c r="AF301" s="13" t="s">
        <v>1479</v>
      </c>
      <c r="AG301" s="13" t="s">
        <v>91</v>
      </c>
      <c r="AH301" s="13" t="s">
        <v>92</v>
      </c>
      <c r="AI301" s="13" t="s">
        <v>103</v>
      </c>
      <c r="AJ301" s="14"/>
      <c r="AK301" s="15"/>
      <c r="AL301" s="15"/>
      <c r="AM301" s="15" t="s">
        <v>61</v>
      </c>
      <c r="AN301" s="15" t="s">
        <v>61</v>
      </c>
      <c r="AO301" s="15" t="s">
        <v>61</v>
      </c>
      <c r="AP301" s="15" t="s">
        <v>61</v>
      </c>
      <c r="AQ301" s="22"/>
      <c r="AR301" s="25"/>
      <c r="AS301" s="25"/>
      <c r="AT301" s="25"/>
      <c r="AU301" s="25"/>
      <c r="AV301" s="25"/>
      <c r="AW301" s="25"/>
      <c r="AX301" s="24"/>
    </row>
    <row r="302" spans="1:50" ht="16.5" customHeight="1">
      <c r="A302" s="36" t="s">
        <v>1480</v>
      </c>
      <c r="B302" s="28"/>
      <c r="C302" s="28" t="s">
        <v>97</v>
      </c>
      <c r="D302" s="28"/>
      <c r="E302" s="28"/>
      <c r="F302" s="28" t="s">
        <v>61</v>
      </c>
      <c r="G302" s="28"/>
      <c r="H302" s="28" t="str">
        <f>IF(ISNUMBER(Table810[[#This Row],[Total Capacity]]),"USBR Enterprise Asset Registry",IF(Table810[[#This Row],[Total Capacity]]="",""))</f>
        <v/>
      </c>
      <c r="I302" s="28"/>
      <c r="J302" s="28"/>
      <c r="K302" s="28"/>
      <c r="L302" s="50" t="s">
        <v>98</v>
      </c>
      <c r="M302" s="48"/>
      <c r="N302" s="50" t="s">
        <v>98</v>
      </c>
      <c r="O302" s="28"/>
      <c r="P302" s="37"/>
      <c r="Q302" s="28" t="str">
        <f>IF(OR(Table810[[#This Row],[Post-Review Decision]]="Include", Table810[[#This Row],[Post-Review Decision]]="Include if possible", Table810[[#This Row],[Post-Review Decision]]="Include (Omit % Avg if needed)",  Table810[[#This Row],[Post-Review Decision]]="Include (Omit % Avg)"),Table810[[#This Row],[EAR Total Capacity]],"")</f>
        <v/>
      </c>
      <c r="R302" s="28"/>
      <c r="S302" s="45">
        <v>0</v>
      </c>
      <c r="T302" s="28"/>
      <c r="U302" s="28"/>
      <c r="V302" s="13" t="s">
        <v>442</v>
      </c>
      <c r="W302" s="12" t="b">
        <f>ISNUMBER(Table810[[#This Row],[EAR Total Capacity]])</f>
        <v>0</v>
      </c>
      <c r="X302" s="12" t="b">
        <f>IF(Table810[[#This Row],[Has  Storage for Full Averaging Period?]]="OK",TRUE,FALSE)</f>
        <v>0</v>
      </c>
      <c r="Y302" s="12" t="b">
        <f>IFERROR(IF(YEAR(Table810[[#This Row],[RISE Storage End Date]])=2025,TRUE,FALSE),FALSE)</f>
        <v>0</v>
      </c>
      <c r="Z302" s="11" t="b">
        <v>0</v>
      </c>
      <c r="AA302" s="13">
        <v>297</v>
      </c>
      <c r="AB302" s="13" t="s">
        <v>76</v>
      </c>
      <c r="AC302" s="13" t="s">
        <v>1481</v>
      </c>
      <c r="AD302" s="13" t="s">
        <v>1480</v>
      </c>
      <c r="AE302" s="13" t="s">
        <v>101</v>
      </c>
      <c r="AF302" s="13" t="s">
        <v>1482</v>
      </c>
      <c r="AG302" s="13" t="s">
        <v>91</v>
      </c>
      <c r="AH302" s="13" t="s">
        <v>92</v>
      </c>
      <c r="AI302" s="13" t="s">
        <v>103</v>
      </c>
      <c r="AJ302" s="13"/>
      <c r="AK302" s="15"/>
      <c r="AL302" s="15"/>
      <c r="AM302" s="15" t="s">
        <v>61</v>
      </c>
      <c r="AN302" s="15" t="s">
        <v>61</v>
      </c>
      <c r="AO302" s="15" t="s">
        <v>61</v>
      </c>
      <c r="AP302" s="15" t="s">
        <v>61</v>
      </c>
      <c r="AQ302" s="22"/>
      <c r="AR302" s="25"/>
      <c r="AS302" s="25"/>
      <c r="AT302" s="25"/>
      <c r="AU302" s="25"/>
      <c r="AV302" s="25"/>
      <c r="AW302" s="25"/>
      <c r="AX302" s="24"/>
    </row>
    <row r="303" spans="1:50" ht="16.5" customHeight="1">
      <c r="A303" s="36" t="s">
        <v>1483</v>
      </c>
      <c r="B303" s="28"/>
      <c r="C303" s="28" t="s">
        <v>97</v>
      </c>
      <c r="D303" s="28"/>
      <c r="E303" s="28"/>
      <c r="F303" s="28" t="s">
        <v>61</v>
      </c>
      <c r="G303" s="28"/>
      <c r="H303" s="28" t="str">
        <f>IF(ISNUMBER(Table810[[#This Row],[Total Capacity]]),"USBR Enterprise Asset Registry",IF(Table810[[#This Row],[Total Capacity]]="",""))</f>
        <v/>
      </c>
      <c r="I303" s="28"/>
      <c r="J303" s="28"/>
      <c r="K303" s="28"/>
      <c r="L303" s="50" t="s">
        <v>98</v>
      </c>
      <c r="M303" s="48"/>
      <c r="N303" s="50" t="s">
        <v>98</v>
      </c>
      <c r="O303" s="28"/>
      <c r="P303" s="37"/>
      <c r="Q303" s="28" t="str">
        <f>IF(OR(Table810[[#This Row],[Post-Review Decision]]="Include", Table810[[#This Row],[Post-Review Decision]]="Include if possible", Table810[[#This Row],[Post-Review Decision]]="Include (Omit % Avg if needed)",  Table810[[#This Row],[Post-Review Decision]]="Include (Omit % Avg)"),Table810[[#This Row],[EAR Total Capacity]],"")</f>
        <v/>
      </c>
      <c r="R303" s="28"/>
      <c r="S303" s="45">
        <v>0</v>
      </c>
      <c r="T303" s="28"/>
      <c r="U303" s="28"/>
      <c r="V303" s="13" t="s">
        <v>559</v>
      </c>
      <c r="W303" s="12" t="b">
        <f>ISNUMBER(Table810[[#This Row],[EAR Total Capacity]])</f>
        <v>0</v>
      </c>
      <c r="X303" s="12" t="b">
        <f>IF(Table810[[#This Row],[Has  Storage for Full Averaging Period?]]="OK",TRUE,FALSE)</f>
        <v>0</v>
      </c>
      <c r="Y303" s="12" t="b">
        <f>IFERROR(IF(YEAR(Table810[[#This Row],[RISE Storage End Date]])=2025,TRUE,FALSE),FALSE)</f>
        <v>0</v>
      </c>
      <c r="Z303" s="11" t="b">
        <v>0</v>
      </c>
      <c r="AA303" s="13">
        <v>299</v>
      </c>
      <c r="AB303" s="13" t="s">
        <v>76</v>
      </c>
      <c r="AC303" s="13" t="s">
        <v>1484</v>
      </c>
      <c r="AD303" s="13" t="s">
        <v>1483</v>
      </c>
      <c r="AE303" s="13" t="s">
        <v>101</v>
      </c>
      <c r="AF303" s="13" t="s">
        <v>1485</v>
      </c>
      <c r="AG303" s="13" t="s">
        <v>80</v>
      </c>
      <c r="AH303" s="13" t="s">
        <v>81</v>
      </c>
      <c r="AI303" s="13" t="s">
        <v>103</v>
      </c>
      <c r="AJ303" s="14"/>
      <c r="AK303" s="15"/>
      <c r="AL303" s="15"/>
      <c r="AM303" s="15" t="s">
        <v>61</v>
      </c>
      <c r="AN303" s="15" t="s">
        <v>61</v>
      </c>
      <c r="AO303" s="15" t="s">
        <v>61</v>
      </c>
      <c r="AP303" s="15" t="s">
        <v>61</v>
      </c>
      <c r="AQ303" s="22"/>
      <c r="AR303" s="25"/>
      <c r="AS303" s="25"/>
      <c r="AT303" s="25"/>
      <c r="AU303" s="25"/>
      <c r="AV303" s="25"/>
      <c r="AW303" s="25"/>
      <c r="AX303" s="24"/>
    </row>
    <row r="304" spans="1:50" ht="16.5" customHeight="1">
      <c r="A304" s="36" t="s">
        <v>1486</v>
      </c>
      <c r="B304" s="28"/>
      <c r="C304" s="28" t="s">
        <v>97</v>
      </c>
      <c r="D304" s="28"/>
      <c r="E304" s="28"/>
      <c r="F304" s="28" t="s">
        <v>61</v>
      </c>
      <c r="G304" s="28"/>
      <c r="H304" s="28" t="str">
        <f>IF(ISNUMBER(Table810[[#This Row],[Total Capacity]]),"USBR Enterprise Asset Registry",IF(Table810[[#This Row],[Total Capacity]]="",""))</f>
        <v/>
      </c>
      <c r="I304" s="28"/>
      <c r="J304" s="28"/>
      <c r="K304" s="28"/>
      <c r="L304" s="50" t="s">
        <v>98</v>
      </c>
      <c r="M304" s="48"/>
      <c r="N304" s="50" t="s">
        <v>98</v>
      </c>
      <c r="O304" s="28"/>
      <c r="P304" s="37"/>
      <c r="Q304" s="28" t="str">
        <f>IF(OR(Table810[[#This Row],[Post-Review Decision]]="Include", Table810[[#This Row],[Post-Review Decision]]="Include if possible", Table810[[#This Row],[Post-Review Decision]]="Include (Omit % Avg if needed)",  Table810[[#This Row],[Post-Review Decision]]="Include (Omit % Avg)"),Table810[[#This Row],[EAR Total Capacity]],"")</f>
        <v/>
      </c>
      <c r="R304" s="28"/>
      <c r="S304" s="45">
        <v>0</v>
      </c>
      <c r="T304" s="28"/>
      <c r="U304" s="28"/>
      <c r="V304" s="13" t="s">
        <v>684</v>
      </c>
      <c r="W304" s="12" t="b">
        <f>ISNUMBER(Table810[[#This Row],[EAR Total Capacity]])</f>
        <v>0</v>
      </c>
      <c r="X304" s="12" t="b">
        <f>IF(Table810[[#This Row],[Has  Storage for Full Averaging Period?]]="OK",TRUE,FALSE)</f>
        <v>0</v>
      </c>
      <c r="Y304" s="12" t="b">
        <f>IFERROR(IF(YEAR(Table810[[#This Row],[RISE Storage End Date]])=2025,TRUE,FALSE),FALSE)</f>
        <v>0</v>
      </c>
      <c r="Z304" s="11" t="b">
        <v>0</v>
      </c>
      <c r="AA304" s="13">
        <v>300</v>
      </c>
      <c r="AB304" s="13" t="s">
        <v>76</v>
      </c>
      <c r="AC304" s="13" t="s">
        <v>1487</v>
      </c>
      <c r="AD304" s="13" t="s">
        <v>1486</v>
      </c>
      <c r="AE304" s="13" t="s">
        <v>101</v>
      </c>
      <c r="AF304" s="13" t="s">
        <v>1488</v>
      </c>
      <c r="AG304" s="13" t="s">
        <v>159</v>
      </c>
      <c r="AH304" s="13" t="s">
        <v>160</v>
      </c>
      <c r="AI304" s="13" t="s">
        <v>103</v>
      </c>
      <c r="AJ304" s="14"/>
      <c r="AK304" s="15"/>
      <c r="AL304" s="15"/>
      <c r="AM304" s="15" t="s">
        <v>61</v>
      </c>
      <c r="AN304" s="15" t="s">
        <v>61</v>
      </c>
      <c r="AO304" s="15" t="s">
        <v>61</v>
      </c>
      <c r="AP304" s="15" t="s">
        <v>61</v>
      </c>
      <c r="AQ304" s="22"/>
      <c r="AR304" s="25"/>
      <c r="AS304" s="25"/>
      <c r="AT304" s="25"/>
      <c r="AU304" s="25"/>
      <c r="AV304" s="25"/>
      <c r="AW304" s="25"/>
      <c r="AX304" s="24"/>
    </row>
    <row r="305" spans="1:50" ht="16.5" customHeight="1">
      <c r="A305" s="36" t="s">
        <v>1489</v>
      </c>
      <c r="B305" s="28"/>
      <c r="C305" s="28" t="s">
        <v>97</v>
      </c>
      <c r="D305" s="28"/>
      <c r="E305" s="28"/>
      <c r="F305" s="28" t="s">
        <v>61</v>
      </c>
      <c r="G305" s="28"/>
      <c r="H305" s="28" t="str">
        <f>IF(ISNUMBER(Table810[[#This Row],[Total Capacity]]),"USBR Enterprise Asset Registry",IF(Table810[[#This Row],[Total Capacity]]="",""))</f>
        <v/>
      </c>
      <c r="I305" s="28"/>
      <c r="J305" s="28"/>
      <c r="K305" s="28"/>
      <c r="L305" s="50" t="s">
        <v>98</v>
      </c>
      <c r="M305" s="48"/>
      <c r="N305" s="50" t="s">
        <v>98</v>
      </c>
      <c r="O305" s="28"/>
      <c r="P305" s="37"/>
      <c r="Q305" s="28" t="str">
        <f>IF(OR(Table810[[#This Row],[Post-Review Decision]]="Include", Table810[[#This Row],[Post-Review Decision]]="Include if possible", Table810[[#This Row],[Post-Review Decision]]="Include (Omit % Avg if needed)",  Table810[[#This Row],[Post-Review Decision]]="Include (Omit % Avg)"),Table810[[#This Row],[EAR Total Capacity]],"")</f>
        <v/>
      </c>
      <c r="R305" s="28"/>
      <c r="S305" s="45">
        <v>0</v>
      </c>
      <c r="T305" s="28"/>
      <c r="U305" s="28"/>
      <c r="V305" s="13" t="s">
        <v>74</v>
      </c>
      <c r="W305" s="12" t="b">
        <f>ISNUMBER(Table810[[#This Row],[EAR Total Capacity]])</f>
        <v>0</v>
      </c>
      <c r="X305" s="12" t="b">
        <f>IF(Table810[[#This Row],[Has  Storage for Full Averaging Period?]]="OK",TRUE,FALSE)</f>
        <v>0</v>
      </c>
      <c r="Y305" s="12" t="b">
        <f>IFERROR(IF(YEAR(Table810[[#This Row],[RISE Storage End Date]])=2025,TRUE,FALSE),FALSE)</f>
        <v>0</v>
      </c>
      <c r="Z305" s="11" t="b">
        <v>0</v>
      </c>
      <c r="AA305" s="13">
        <v>301</v>
      </c>
      <c r="AB305" s="13" t="s">
        <v>76</v>
      </c>
      <c r="AC305" s="13" t="s">
        <v>1490</v>
      </c>
      <c r="AD305" s="13" t="s">
        <v>1489</v>
      </c>
      <c r="AE305" s="13" t="s">
        <v>101</v>
      </c>
      <c r="AF305" s="13" t="s">
        <v>1491</v>
      </c>
      <c r="AG305" s="13" t="s">
        <v>80</v>
      </c>
      <c r="AH305" s="13" t="s">
        <v>81</v>
      </c>
      <c r="AI305" s="13" t="s">
        <v>103</v>
      </c>
      <c r="AJ305" s="14"/>
      <c r="AK305" s="15"/>
      <c r="AL305" s="15"/>
      <c r="AM305" s="15" t="s">
        <v>61</v>
      </c>
      <c r="AN305" s="15" t="s">
        <v>61</v>
      </c>
      <c r="AO305" s="15" t="s">
        <v>61</v>
      </c>
      <c r="AP305" s="15" t="s">
        <v>61</v>
      </c>
      <c r="AQ305" s="22"/>
      <c r="AR305" s="25"/>
      <c r="AS305" s="25"/>
      <c r="AT305" s="25"/>
      <c r="AU305" s="25"/>
      <c r="AV305" s="25"/>
      <c r="AW305" s="25"/>
      <c r="AX305" s="24"/>
    </row>
    <row r="306" spans="1:50" ht="16.5" customHeight="1">
      <c r="A306" s="36" t="s">
        <v>1492</v>
      </c>
      <c r="B306" s="28" t="s">
        <v>68</v>
      </c>
      <c r="C306" s="28" t="s">
        <v>69</v>
      </c>
      <c r="D306" s="28"/>
      <c r="E306" s="28" t="s">
        <v>70</v>
      </c>
      <c r="F306" s="28">
        <v>3665</v>
      </c>
      <c r="G306" s="28">
        <v>3</v>
      </c>
      <c r="H306" s="28" t="str">
        <f>IF(ISNUMBER(Table810[[#This Row],[Total Capacity]]),"USBR Enterprise Asset Registry",IF(Table810[[#This Row],[Total Capacity]]="",""))</f>
        <v>USBR Enterprise Asset Registry</v>
      </c>
      <c r="I306" s="28" t="s">
        <v>71</v>
      </c>
      <c r="J306" s="28" t="s">
        <v>72</v>
      </c>
      <c r="K306" s="28"/>
      <c r="L306" s="50">
        <v>44214</v>
      </c>
      <c r="M306" s="48"/>
      <c r="N306" s="50">
        <v>44214</v>
      </c>
      <c r="O306" s="28"/>
      <c r="P306" s="37"/>
      <c r="Q306" s="28">
        <f>IF(OR(Table810[[#This Row],[Post-Review Decision]]="Include", Table810[[#This Row],[Post-Review Decision]]="Include if possible", Table810[[#This Row],[Post-Review Decision]]="Include (Omit % Avg if needed)",  Table810[[#This Row],[Post-Review Decision]]="Include (Omit % Avg)"),Table810[[#This Row],[EAR Total Capacity]],"")</f>
        <v>44248</v>
      </c>
      <c r="R306" s="28">
        <v>44214</v>
      </c>
      <c r="S306" s="46">
        <v>44214</v>
      </c>
      <c r="T306" s="28" t="s">
        <v>1492</v>
      </c>
      <c r="U306" s="28" t="s">
        <v>1493</v>
      </c>
      <c r="V306" s="13" t="s">
        <v>653</v>
      </c>
      <c r="W306" s="12" t="b">
        <f>ISNUMBER(Table810[[#This Row],[EAR Total Capacity]])</f>
        <v>1</v>
      </c>
      <c r="X306" s="12" t="s">
        <v>75</v>
      </c>
      <c r="Y306" s="12" t="b">
        <f>IFERROR(IF(YEAR(Table810[[#This Row],[RISE Storage End Date]])=2025,TRUE,FALSE),FALSE)</f>
        <v>0</v>
      </c>
      <c r="Z306" s="11" t="b">
        <v>0</v>
      </c>
      <c r="AA306" s="13">
        <v>303</v>
      </c>
      <c r="AB306" s="13" t="s">
        <v>76</v>
      </c>
      <c r="AC306" s="13" t="s">
        <v>1494</v>
      </c>
      <c r="AD306" s="13" t="s">
        <v>1492</v>
      </c>
      <c r="AE306" s="13" t="s">
        <v>78</v>
      </c>
      <c r="AF306" s="13" t="s">
        <v>1495</v>
      </c>
      <c r="AG306" s="13" t="s">
        <v>80</v>
      </c>
      <c r="AH306" s="13" t="s">
        <v>81</v>
      </c>
      <c r="AI306" s="13" t="s">
        <v>93</v>
      </c>
      <c r="AJ306" s="19">
        <v>44248</v>
      </c>
      <c r="AK306" s="18"/>
      <c r="AL306" s="18"/>
      <c r="AM306" s="13" t="s">
        <v>1496</v>
      </c>
      <c r="AN306" s="13" t="s">
        <v>84</v>
      </c>
      <c r="AO306" s="13" t="s">
        <v>1492</v>
      </c>
      <c r="AP306" s="13" t="s">
        <v>1492</v>
      </c>
      <c r="AQ306" s="21" t="s">
        <v>64</v>
      </c>
      <c r="AR306" s="25"/>
      <c r="AS306" s="25"/>
      <c r="AT306" s="25"/>
      <c r="AU306" s="25"/>
      <c r="AV306" s="25"/>
      <c r="AW306" s="25"/>
      <c r="AX306" s="24"/>
    </row>
    <row r="307" spans="1:50" ht="16.5" customHeight="1">
      <c r="A307" s="36" t="s">
        <v>1497</v>
      </c>
      <c r="B307" s="28" t="s">
        <v>68</v>
      </c>
      <c r="C307" s="28" t="s">
        <v>52</v>
      </c>
      <c r="D307" s="28" t="s">
        <v>125</v>
      </c>
      <c r="E307" s="28" t="s">
        <v>126</v>
      </c>
      <c r="F307" s="28">
        <v>7303</v>
      </c>
      <c r="G307" s="28">
        <v>3</v>
      </c>
      <c r="H307" s="28" t="str">
        <f>IF(ISNUMBER(Table810[[#This Row],[Total Capacity]]),"USBR Enterprise Asset Registry",IF(Table810[[#This Row],[Total Capacity]]="",""))</f>
        <v>USBR Enterprise Asset Registry</v>
      </c>
      <c r="I307" s="28" t="s">
        <v>57</v>
      </c>
      <c r="J307" s="28" t="s">
        <v>127</v>
      </c>
      <c r="K307" s="33">
        <v>36440</v>
      </c>
      <c r="L307" s="50">
        <v>72156</v>
      </c>
      <c r="M307" s="48">
        <v>72399</v>
      </c>
      <c r="N307" s="50">
        <v>72399</v>
      </c>
      <c r="O307" s="28"/>
      <c r="P307" s="37" t="s">
        <v>1498</v>
      </c>
      <c r="Q307" s="28">
        <f>IF(OR(Table810[[#This Row],[Post-Review Decision]]="Include", Table810[[#This Row],[Post-Review Decision]]="Include if possible", Table810[[#This Row],[Post-Review Decision]]="Include (Omit % Avg if needed)",  Table810[[#This Row],[Post-Review Decision]]="Include (Omit % Avg)"),Table810[[#This Row],[EAR Total Capacity]],"")</f>
        <v>108596</v>
      </c>
      <c r="R307" s="28">
        <v>98220</v>
      </c>
      <c r="S307" s="46">
        <v>107898</v>
      </c>
      <c r="T307" s="28" t="s">
        <v>1499</v>
      </c>
      <c r="U307" s="28" t="s">
        <v>1499</v>
      </c>
      <c r="V307" s="13" t="s">
        <v>1500</v>
      </c>
      <c r="W307" s="12" t="b">
        <f>ISNUMBER(Table810[[#This Row],[EAR Total Capacity]])</f>
        <v>1</v>
      </c>
      <c r="X307" s="12" t="b">
        <f>IF(Table810[[#This Row],[Has  Storage for Full Averaging Period?]]="OK",TRUE,FALSE)</f>
        <v>0</v>
      </c>
      <c r="Y307" s="12" t="b">
        <f>IFERROR(IF(YEAR(Table810[[#This Row],[RISE Storage End Date]])=2025,TRUE,FALSE),FALSE)</f>
        <v>0</v>
      </c>
      <c r="Z307" s="11" t="b">
        <v>0</v>
      </c>
      <c r="AA307" s="13">
        <v>226</v>
      </c>
      <c r="AB307" s="13" t="s">
        <v>76</v>
      </c>
      <c r="AC307" s="13" t="s">
        <v>1501</v>
      </c>
      <c r="AD307" s="13" t="s">
        <v>1497</v>
      </c>
      <c r="AE307" s="13" t="s">
        <v>78</v>
      </c>
      <c r="AF307" s="13" t="s">
        <v>1502</v>
      </c>
      <c r="AG307" s="13" t="s">
        <v>133</v>
      </c>
      <c r="AH307" s="13" t="s">
        <v>92</v>
      </c>
      <c r="AI307" s="13" t="s">
        <v>93</v>
      </c>
      <c r="AJ307" s="14">
        <v>108596</v>
      </c>
      <c r="AK307" s="15">
        <v>-97.027799999999999</v>
      </c>
      <c r="AL307" s="15">
        <v>34.433100000000003</v>
      </c>
      <c r="AM307" s="15" t="s">
        <v>61</v>
      </c>
      <c r="AN307" s="15" t="s">
        <v>61</v>
      </c>
      <c r="AO307" s="15" t="s">
        <v>61</v>
      </c>
      <c r="AP307" s="15" t="s">
        <v>61</v>
      </c>
      <c r="AQ307" s="21" t="s">
        <v>136</v>
      </c>
      <c r="AR307" s="25"/>
      <c r="AS307" s="25"/>
      <c r="AT307" s="25"/>
      <c r="AU307" s="25"/>
      <c r="AV307" s="25"/>
      <c r="AW307" s="25"/>
      <c r="AX307" s="24"/>
    </row>
    <row r="308" spans="1:50" ht="16.5" customHeight="1">
      <c r="A308" s="36" t="s">
        <v>1503</v>
      </c>
      <c r="B308" s="28"/>
      <c r="C308" s="28" t="s">
        <v>97</v>
      </c>
      <c r="D308" s="28"/>
      <c r="E308" s="28"/>
      <c r="F308" s="28" t="s">
        <v>61</v>
      </c>
      <c r="G308" s="28"/>
      <c r="H308" s="28" t="str">
        <f>IF(ISNUMBER(Table810[[#This Row],[Total Capacity]]),"USBR Enterprise Asset Registry",IF(Table810[[#This Row],[Total Capacity]]="",""))</f>
        <v/>
      </c>
      <c r="I308" s="28"/>
      <c r="J308" s="28"/>
      <c r="K308" s="28"/>
      <c r="L308" s="50" t="s">
        <v>98</v>
      </c>
      <c r="M308" s="48"/>
      <c r="N308" s="50" t="s">
        <v>98</v>
      </c>
      <c r="O308" s="28"/>
      <c r="P308" s="37"/>
      <c r="Q308" s="28" t="str">
        <f>IF(OR(Table810[[#This Row],[Post-Review Decision]]="Include", Table810[[#This Row],[Post-Review Decision]]="Include if possible", Table810[[#This Row],[Post-Review Decision]]="Include (Omit % Avg if needed)",  Table810[[#This Row],[Post-Review Decision]]="Include (Omit % Avg)"),Table810[[#This Row],[EAR Total Capacity]],"")</f>
        <v/>
      </c>
      <c r="R308" s="28"/>
      <c r="S308" s="45">
        <v>0</v>
      </c>
      <c r="T308" s="28"/>
      <c r="U308" s="28"/>
      <c r="V308" s="13" t="s">
        <v>465</v>
      </c>
      <c r="W308" s="12" t="b">
        <f>ISNUMBER(Table810[[#This Row],[EAR Total Capacity]])</f>
        <v>0</v>
      </c>
      <c r="X308" s="12" t="b">
        <f>IF(Table810[[#This Row],[Has  Storage for Full Averaging Period?]]="OK",TRUE,FALSE)</f>
        <v>0</v>
      </c>
      <c r="Y308" s="12" t="b">
        <f>IFERROR(IF(YEAR(Table810[[#This Row],[RISE Storage End Date]])=2025,TRUE,FALSE),FALSE)</f>
        <v>0</v>
      </c>
      <c r="Z308" s="11" t="b">
        <v>0</v>
      </c>
      <c r="AA308" s="13">
        <v>310</v>
      </c>
      <c r="AB308" s="13" t="s">
        <v>76</v>
      </c>
      <c r="AC308" s="13" t="s">
        <v>1504</v>
      </c>
      <c r="AD308" s="13" t="s">
        <v>1503</v>
      </c>
      <c r="AE308" s="13" t="s">
        <v>101</v>
      </c>
      <c r="AF308" s="13" t="s">
        <v>1505</v>
      </c>
      <c r="AG308" s="13" t="s">
        <v>91</v>
      </c>
      <c r="AH308" s="13" t="s">
        <v>102</v>
      </c>
      <c r="AI308" s="13" t="s">
        <v>103</v>
      </c>
      <c r="AJ308" s="13"/>
      <c r="AK308" s="15"/>
      <c r="AL308" s="15"/>
      <c r="AM308" s="15" t="s">
        <v>61</v>
      </c>
      <c r="AN308" s="15" t="s">
        <v>61</v>
      </c>
      <c r="AO308" s="15" t="s">
        <v>61</v>
      </c>
      <c r="AP308" s="15" t="s">
        <v>61</v>
      </c>
      <c r="AQ308" s="22"/>
      <c r="AR308" s="25"/>
      <c r="AS308" s="25"/>
      <c r="AT308" s="25"/>
      <c r="AU308" s="25"/>
      <c r="AV308" s="25"/>
      <c r="AW308" s="25"/>
      <c r="AX308" s="24"/>
    </row>
    <row r="309" spans="1:50" ht="16.5" customHeight="1">
      <c r="A309" s="36" t="s">
        <v>1506</v>
      </c>
      <c r="B309" s="28"/>
      <c r="C309" s="28" t="s">
        <v>97</v>
      </c>
      <c r="D309" s="28"/>
      <c r="E309" s="28"/>
      <c r="F309" s="28" t="s">
        <v>61</v>
      </c>
      <c r="G309" s="28"/>
      <c r="H309" s="28" t="str">
        <f>IF(ISNUMBER(Table810[[#This Row],[Total Capacity]]),"USBR Enterprise Asset Registry",IF(Table810[[#This Row],[Total Capacity]]="",""))</f>
        <v/>
      </c>
      <c r="I309" s="28"/>
      <c r="J309" s="28"/>
      <c r="K309" s="28"/>
      <c r="L309" s="50" t="s">
        <v>98</v>
      </c>
      <c r="M309" s="48"/>
      <c r="N309" s="50" t="s">
        <v>98</v>
      </c>
      <c r="O309" s="28"/>
      <c r="P309" s="37"/>
      <c r="Q309" s="28" t="str">
        <f>IF(OR(Table810[[#This Row],[Post-Review Decision]]="Include", Table810[[#This Row],[Post-Review Decision]]="Include if possible", Table810[[#This Row],[Post-Review Decision]]="Include (Omit % Avg if needed)",  Table810[[#This Row],[Post-Review Decision]]="Include (Omit % Avg)"),Table810[[#This Row],[EAR Total Capacity]],"")</f>
        <v/>
      </c>
      <c r="R309" s="28"/>
      <c r="S309" s="45">
        <v>0</v>
      </c>
      <c r="T309" s="28"/>
      <c r="U309" s="28"/>
      <c r="V309" s="13" t="s">
        <v>1507</v>
      </c>
      <c r="W309" s="12" t="b">
        <f>ISNUMBER(Table810[[#This Row],[EAR Total Capacity]])</f>
        <v>1</v>
      </c>
      <c r="X309" s="12" t="b">
        <f>IF(Table810[[#This Row],[Has  Storage for Full Averaging Period?]]="OK",TRUE,FALSE)</f>
        <v>0</v>
      </c>
      <c r="Y309" s="12" t="b">
        <f>IFERROR(IF(YEAR(Table810[[#This Row],[RISE Storage End Date]])=2025,TRUE,FALSE),FALSE)</f>
        <v>0</v>
      </c>
      <c r="Z309" s="11" t="b">
        <v>0</v>
      </c>
      <c r="AA309" s="13">
        <v>304</v>
      </c>
      <c r="AB309" s="13" t="s">
        <v>76</v>
      </c>
      <c r="AC309" s="13" t="s">
        <v>1506</v>
      </c>
      <c r="AD309" s="13" t="s">
        <v>1506</v>
      </c>
      <c r="AE309" s="13" t="s">
        <v>101</v>
      </c>
      <c r="AF309" s="13" t="s">
        <v>1508</v>
      </c>
      <c r="AG309" s="13" t="s">
        <v>91</v>
      </c>
      <c r="AH309" s="13" t="s">
        <v>102</v>
      </c>
      <c r="AI309" s="13" t="s">
        <v>110</v>
      </c>
      <c r="AJ309" s="14">
        <v>13</v>
      </c>
      <c r="AK309" s="15"/>
      <c r="AL309" s="15"/>
      <c r="AM309" s="15" t="s">
        <v>61</v>
      </c>
      <c r="AN309" s="15" t="s">
        <v>61</v>
      </c>
      <c r="AO309" s="15" t="s">
        <v>61</v>
      </c>
      <c r="AP309" s="15" t="s">
        <v>61</v>
      </c>
      <c r="AQ309" s="22"/>
      <c r="AR309" s="25"/>
      <c r="AS309" s="25"/>
      <c r="AT309" s="25"/>
      <c r="AU309" s="25"/>
      <c r="AV309" s="25"/>
      <c r="AW309" s="25"/>
      <c r="AX309" s="24"/>
    </row>
    <row r="310" spans="1:50" ht="16.5" customHeight="1">
      <c r="A310" s="36" t="s">
        <v>1509</v>
      </c>
      <c r="B310" s="28"/>
      <c r="C310" s="28" t="s">
        <v>97</v>
      </c>
      <c r="D310" s="28"/>
      <c r="E310" s="28"/>
      <c r="F310" s="28" t="s">
        <v>61</v>
      </c>
      <c r="G310" s="28"/>
      <c r="H310" s="28" t="str">
        <f>IF(ISNUMBER(Table810[[#This Row],[Total Capacity]]),"USBR Enterprise Asset Registry",IF(Table810[[#This Row],[Total Capacity]]="",""))</f>
        <v/>
      </c>
      <c r="I310" s="28"/>
      <c r="J310" s="28"/>
      <c r="K310" s="28"/>
      <c r="L310" s="50" t="s">
        <v>98</v>
      </c>
      <c r="M310" s="48"/>
      <c r="N310" s="50" t="s">
        <v>98</v>
      </c>
      <c r="O310" s="28"/>
      <c r="P310" s="37"/>
      <c r="Q310" s="28" t="str">
        <f>IF(OR(Table810[[#This Row],[Post-Review Decision]]="Include", Table810[[#This Row],[Post-Review Decision]]="Include if possible", Table810[[#This Row],[Post-Review Decision]]="Include (Omit % Avg if needed)",  Table810[[#This Row],[Post-Review Decision]]="Include (Omit % Avg)"),Table810[[#This Row],[EAR Total Capacity]],"")</f>
        <v/>
      </c>
      <c r="R310" s="28"/>
      <c r="S310" s="45">
        <v>0</v>
      </c>
      <c r="T310" s="28"/>
      <c r="U310" s="28"/>
      <c r="V310" s="13" t="s">
        <v>1507</v>
      </c>
      <c r="W310" s="12" t="b">
        <f>ISNUMBER(Table810[[#This Row],[EAR Total Capacity]])</f>
        <v>1</v>
      </c>
      <c r="X310" s="12" t="b">
        <f>IF(Table810[[#This Row],[Has  Storage for Full Averaging Period?]]="OK",TRUE,FALSE)</f>
        <v>0</v>
      </c>
      <c r="Y310" s="12" t="b">
        <f>IFERROR(IF(YEAR(Table810[[#This Row],[RISE Storage End Date]])=2025,TRUE,FALSE),FALSE)</f>
        <v>0</v>
      </c>
      <c r="Z310" s="11" t="b">
        <v>0</v>
      </c>
      <c r="AA310" s="13">
        <v>305</v>
      </c>
      <c r="AB310" s="13" t="s">
        <v>76</v>
      </c>
      <c r="AC310" s="13" t="s">
        <v>1509</v>
      </c>
      <c r="AD310" s="13" t="s">
        <v>1509</v>
      </c>
      <c r="AE310" s="13" t="s">
        <v>101</v>
      </c>
      <c r="AF310" s="13" t="s">
        <v>1508</v>
      </c>
      <c r="AG310" s="13" t="s">
        <v>91</v>
      </c>
      <c r="AH310" s="13" t="s">
        <v>102</v>
      </c>
      <c r="AI310" s="13" t="s">
        <v>110</v>
      </c>
      <c r="AJ310" s="13">
        <v>29</v>
      </c>
      <c r="AK310" s="15"/>
      <c r="AL310" s="15"/>
      <c r="AM310" s="15" t="s">
        <v>61</v>
      </c>
      <c r="AN310" s="15" t="s">
        <v>61</v>
      </c>
      <c r="AO310" s="15" t="s">
        <v>61</v>
      </c>
      <c r="AP310" s="15" t="s">
        <v>61</v>
      </c>
      <c r="AQ310" s="22"/>
      <c r="AR310" s="25"/>
      <c r="AS310" s="25"/>
      <c r="AT310" s="25"/>
      <c r="AU310" s="25"/>
      <c r="AV310" s="25"/>
      <c r="AW310" s="25"/>
      <c r="AX310" s="24"/>
    </row>
    <row r="311" spans="1:50" ht="16.5" customHeight="1">
      <c r="A311" s="36" t="s">
        <v>1510</v>
      </c>
      <c r="B311" s="28"/>
      <c r="C311" s="28" t="s">
        <v>97</v>
      </c>
      <c r="D311" s="28"/>
      <c r="E311" s="28"/>
      <c r="F311" s="28" t="s">
        <v>61</v>
      </c>
      <c r="G311" s="28"/>
      <c r="H311" s="28" t="str">
        <f>IF(ISNUMBER(Table810[[#This Row],[Total Capacity]]),"USBR Enterprise Asset Registry",IF(Table810[[#This Row],[Total Capacity]]="",""))</f>
        <v/>
      </c>
      <c r="I311" s="28"/>
      <c r="J311" s="28"/>
      <c r="K311" s="28"/>
      <c r="L311" s="50" t="s">
        <v>98</v>
      </c>
      <c r="M311" s="48"/>
      <c r="N311" s="50" t="s">
        <v>98</v>
      </c>
      <c r="O311" s="28"/>
      <c r="P311" s="37"/>
      <c r="Q311" s="28" t="str">
        <f>IF(OR(Table810[[#This Row],[Post-Review Decision]]="Include", Table810[[#This Row],[Post-Review Decision]]="Include if possible", Table810[[#This Row],[Post-Review Decision]]="Include (Omit % Avg if needed)",  Table810[[#This Row],[Post-Review Decision]]="Include (Omit % Avg)"),Table810[[#This Row],[EAR Total Capacity]],"")</f>
        <v/>
      </c>
      <c r="R311" s="28"/>
      <c r="S311" s="45">
        <v>0</v>
      </c>
      <c r="T311" s="28"/>
      <c r="U311" s="28"/>
      <c r="V311" s="13" t="s">
        <v>1507</v>
      </c>
      <c r="W311" s="12" t="b">
        <f>ISNUMBER(Table810[[#This Row],[EAR Total Capacity]])</f>
        <v>1</v>
      </c>
      <c r="X311" s="12" t="b">
        <f>IF(Table810[[#This Row],[Has  Storage for Full Averaging Period?]]="OK",TRUE,FALSE)</f>
        <v>0</v>
      </c>
      <c r="Y311" s="12" t="b">
        <f>IFERROR(IF(YEAR(Table810[[#This Row],[RISE Storage End Date]])=2025,TRUE,FALSE),FALSE)</f>
        <v>0</v>
      </c>
      <c r="Z311" s="11" t="b">
        <v>0</v>
      </c>
      <c r="AA311" s="13">
        <v>306</v>
      </c>
      <c r="AB311" s="13" t="s">
        <v>76</v>
      </c>
      <c r="AC311" s="13" t="s">
        <v>1510</v>
      </c>
      <c r="AD311" s="13" t="s">
        <v>1510</v>
      </c>
      <c r="AE311" s="13" t="s">
        <v>101</v>
      </c>
      <c r="AF311" s="13" t="s">
        <v>1508</v>
      </c>
      <c r="AG311" s="13" t="s">
        <v>91</v>
      </c>
      <c r="AH311" s="13" t="s">
        <v>102</v>
      </c>
      <c r="AI311" s="13" t="s">
        <v>110</v>
      </c>
      <c r="AJ311" s="13">
        <v>24</v>
      </c>
      <c r="AK311" s="15"/>
      <c r="AL311" s="15"/>
      <c r="AM311" s="15" t="s">
        <v>61</v>
      </c>
      <c r="AN311" s="15" t="s">
        <v>61</v>
      </c>
      <c r="AO311" s="15" t="s">
        <v>61</v>
      </c>
      <c r="AP311" s="15" t="s">
        <v>61</v>
      </c>
      <c r="AQ311" s="22"/>
      <c r="AR311" s="25"/>
      <c r="AS311" s="25"/>
      <c r="AT311" s="25"/>
      <c r="AU311" s="25"/>
      <c r="AV311" s="25"/>
      <c r="AW311" s="25"/>
      <c r="AX311" s="24"/>
    </row>
    <row r="312" spans="1:50" ht="16.5" customHeight="1">
      <c r="A312" s="36" t="s">
        <v>1511</v>
      </c>
      <c r="B312" s="28"/>
      <c r="C312" s="28" t="s">
        <v>97</v>
      </c>
      <c r="D312" s="28"/>
      <c r="E312" s="28"/>
      <c r="F312" s="28" t="s">
        <v>61</v>
      </c>
      <c r="G312" s="28"/>
      <c r="H312" s="28" t="str">
        <f>IF(ISNUMBER(Table810[[#This Row],[Total Capacity]]),"USBR Enterprise Asset Registry",IF(Table810[[#This Row],[Total Capacity]]="",""))</f>
        <v/>
      </c>
      <c r="I312" s="28"/>
      <c r="J312" s="28"/>
      <c r="K312" s="28"/>
      <c r="L312" s="50" t="s">
        <v>98</v>
      </c>
      <c r="M312" s="48"/>
      <c r="N312" s="50" t="s">
        <v>98</v>
      </c>
      <c r="O312" s="28"/>
      <c r="P312" s="37"/>
      <c r="Q312" s="28" t="str">
        <f>IF(OR(Table810[[#This Row],[Post-Review Decision]]="Include", Table810[[#This Row],[Post-Review Decision]]="Include if possible", Table810[[#This Row],[Post-Review Decision]]="Include (Omit % Avg if needed)",  Table810[[#This Row],[Post-Review Decision]]="Include (Omit % Avg)"),Table810[[#This Row],[EAR Total Capacity]],"")</f>
        <v/>
      </c>
      <c r="R312" s="28"/>
      <c r="S312" s="45">
        <v>0</v>
      </c>
      <c r="T312" s="28"/>
      <c r="U312" s="28"/>
      <c r="V312" s="13" t="s">
        <v>1507</v>
      </c>
      <c r="W312" s="12" t="b">
        <f>ISNUMBER(Table810[[#This Row],[EAR Total Capacity]])</f>
        <v>1</v>
      </c>
      <c r="X312" s="12" t="b">
        <f>IF(Table810[[#This Row],[Has  Storage for Full Averaging Period?]]="OK",TRUE,FALSE)</f>
        <v>0</v>
      </c>
      <c r="Y312" s="12" t="b">
        <f>IFERROR(IF(YEAR(Table810[[#This Row],[RISE Storage End Date]])=2025,TRUE,FALSE),FALSE)</f>
        <v>0</v>
      </c>
      <c r="Z312" s="11" t="b">
        <v>0</v>
      </c>
      <c r="AA312" s="13">
        <v>307</v>
      </c>
      <c r="AB312" s="13" t="s">
        <v>76</v>
      </c>
      <c r="AC312" s="13" t="s">
        <v>1511</v>
      </c>
      <c r="AD312" s="13" t="s">
        <v>1511</v>
      </c>
      <c r="AE312" s="13" t="s">
        <v>101</v>
      </c>
      <c r="AF312" s="13" t="s">
        <v>1508</v>
      </c>
      <c r="AG312" s="13" t="s">
        <v>91</v>
      </c>
      <c r="AH312" s="13" t="s">
        <v>102</v>
      </c>
      <c r="AI312" s="13" t="s">
        <v>110</v>
      </c>
      <c r="AJ312" s="13">
        <v>23</v>
      </c>
      <c r="AK312" s="15"/>
      <c r="AL312" s="15"/>
      <c r="AM312" s="15" t="s">
        <v>61</v>
      </c>
      <c r="AN312" s="15" t="s">
        <v>61</v>
      </c>
      <c r="AO312" s="15" t="s">
        <v>61</v>
      </c>
      <c r="AP312" s="15" t="s">
        <v>61</v>
      </c>
      <c r="AQ312" s="22"/>
      <c r="AR312" s="25"/>
      <c r="AS312" s="25"/>
      <c r="AT312" s="25"/>
      <c r="AU312" s="25"/>
      <c r="AV312" s="25"/>
      <c r="AW312" s="25"/>
      <c r="AX312" s="24"/>
    </row>
    <row r="313" spans="1:50" ht="16.5" customHeight="1">
      <c r="A313" s="36" t="s">
        <v>1512</v>
      </c>
      <c r="B313" s="28"/>
      <c r="C313" s="28" t="s">
        <v>97</v>
      </c>
      <c r="D313" s="28"/>
      <c r="E313" s="28"/>
      <c r="F313" s="28" t="s">
        <v>61</v>
      </c>
      <c r="G313" s="28"/>
      <c r="H313" s="28" t="str">
        <f>IF(ISNUMBER(Table810[[#This Row],[Total Capacity]]),"USBR Enterprise Asset Registry",IF(Table810[[#This Row],[Total Capacity]]="",""))</f>
        <v/>
      </c>
      <c r="I313" s="28"/>
      <c r="J313" s="28"/>
      <c r="K313" s="28"/>
      <c r="L313" s="50" t="s">
        <v>98</v>
      </c>
      <c r="M313" s="48"/>
      <c r="N313" s="50" t="s">
        <v>98</v>
      </c>
      <c r="O313" s="28"/>
      <c r="P313" s="37"/>
      <c r="Q313" s="28" t="str">
        <f>IF(OR(Table810[[#This Row],[Post-Review Decision]]="Include", Table810[[#This Row],[Post-Review Decision]]="Include if possible", Table810[[#This Row],[Post-Review Decision]]="Include (Omit % Avg if needed)",  Table810[[#This Row],[Post-Review Decision]]="Include (Omit % Avg)"),Table810[[#This Row],[EAR Total Capacity]],"")</f>
        <v/>
      </c>
      <c r="R313" s="28"/>
      <c r="S313" s="45">
        <v>0</v>
      </c>
      <c r="T313" s="28"/>
      <c r="U313" s="28"/>
      <c r="V313" s="13" t="s">
        <v>1507</v>
      </c>
      <c r="W313" s="12" t="b">
        <f>ISNUMBER(Table810[[#This Row],[EAR Total Capacity]])</f>
        <v>1</v>
      </c>
      <c r="X313" s="12" t="b">
        <f>IF(Table810[[#This Row],[Has  Storage for Full Averaging Period?]]="OK",TRUE,FALSE)</f>
        <v>0</v>
      </c>
      <c r="Y313" s="12" t="b">
        <f>IFERROR(IF(YEAR(Table810[[#This Row],[RISE Storage End Date]])=2025,TRUE,FALSE),FALSE)</f>
        <v>0</v>
      </c>
      <c r="Z313" s="11" t="b">
        <v>0</v>
      </c>
      <c r="AA313" s="13">
        <v>308</v>
      </c>
      <c r="AB313" s="13" t="s">
        <v>76</v>
      </c>
      <c r="AC313" s="13" t="s">
        <v>1512</v>
      </c>
      <c r="AD313" s="13" t="s">
        <v>1512</v>
      </c>
      <c r="AE313" s="13" t="s">
        <v>101</v>
      </c>
      <c r="AF313" s="13" t="s">
        <v>1508</v>
      </c>
      <c r="AG313" s="13" t="s">
        <v>91</v>
      </c>
      <c r="AH313" s="13" t="s">
        <v>102</v>
      </c>
      <c r="AI313" s="13" t="s">
        <v>110</v>
      </c>
      <c r="AJ313" s="14">
        <v>23</v>
      </c>
      <c r="AK313" s="15"/>
      <c r="AL313" s="15"/>
      <c r="AM313" s="15" t="s">
        <v>61</v>
      </c>
      <c r="AN313" s="15" t="s">
        <v>61</v>
      </c>
      <c r="AO313" s="15" t="s">
        <v>61</v>
      </c>
      <c r="AP313" s="15" t="s">
        <v>61</v>
      </c>
      <c r="AQ313" s="22"/>
      <c r="AR313" s="25"/>
      <c r="AS313" s="25"/>
      <c r="AT313" s="25"/>
      <c r="AU313" s="25"/>
      <c r="AV313" s="25"/>
      <c r="AW313" s="25"/>
      <c r="AX313" s="24"/>
    </row>
    <row r="314" spans="1:50" ht="16.5" customHeight="1">
      <c r="A314" s="36" t="s">
        <v>1513</v>
      </c>
      <c r="B314" s="28"/>
      <c r="C314" s="28" t="s">
        <v>97</v>
      </c>
      <c r="D314" s="28"/>
      <c r="E314" s="28"/>
      <c r="F314" s="28" t="s">
        <v>61</v>
      </c>
      <c r="G314" s="28"/>
      <c r="H314" s="28" t="str">
        <f>IF(ISNUMBER(Table810[[#This Row],[Total Capacity]]),"USBR Enterprise Asset Registry",IF(Table810[[#This Row],[Total Capacity]]="",""))</f>
        <v/>
      </c>
      <c r="I314" s="28"/>
      <c r="J314" s="28"/>
      <c r="K314" s="28"/>
      <c r="L314" s="50" t="s">
        <v>98</v>
      </c>
      <c r="M314" s="48"/>
      <c r="N314" s="50" t="s">
        <v>98</v>
      </c>
      <c r="O314" s="28"/>
      <c r="P314" s="37"/>
      <c r="Q314" s="28" t="str">
        <f>IF(OR(Table810[[#This Row],[Post-Review Decision]]="Include", Table810[[#This Row],[Post-Review Decision]]="Include if possible", Table810[[#This Row],[Post-Review Decision]]="Include (Omit % Avg if needed)",  Table810[[#This Row],[Post-Review Decision]]="Include (Omit % Avg)"),Table810[[#This Row],[EAR Total Capacity]],"")</f>
        <v/>
      </c>
      <c r="R314" s="28"/>
      <c r="S314" s="45">
        <v>0</v>
      </c>
      <c r="T314" s="28"/>
      <c r="U314" s="28"/>
      <c r="V314" s="13" t="s">
        <v>1507</v>
      </c>
      <c r="W314" s="12" t="b">
        <f>ISNUMBER(Table810[[#This Row],[EAR Total Capacity]])</f>
        <v>1</v>
      </c>
      <c r="X314" s="12" t="b">
        <f>IF(Table810[[#This Row],[Has  Storage for Full Averaging Period?]]="OK",TRUE,FALSE)</f>
        <v>0</v>
      </c>
      <c r="Y314" s="12" t="b">
        <f>IFERROR(IF(YEAR(Table810[[#This Row],[RISE Storage End Date]])=2025,TRUE,FALSE),FALSE)</f>
        <v>0</v>
      </c>
      <c r="Z314" s="11" t="b">
        <v>0</v>
      </c>
      <c r="AA314" s="13">
        <v>309</v>
      </c>
      <c r="AB314" s="13" t="s">
        <v>76</v>
      </c>
      <c r="AC314" s="13" t="s">
        <v>1513</v>
      </c>
      <c r="AD314" s="13" t="s">
        <v>1513</v>
      </c>
      <c r="AE314" s="13" t="s">
        <v>101</v>
      </c>
      <c r="AF314" s="13" t="s">
        <v>1508</v>
      </c>
      <c r="AG314" s="13" t="s">
        <v>91</v>
      </c>
      <c r="AH314" s="13" t="s">
        <v>102</v>
      </c>
      <c r="AI314" s="13" t="s">
        <v>110</v>
      </c>
      <c r="AJ314" s="13">
        <v>16</v>
      </c>
      <c r="AK314" s="15"/>
      <c r="AL314" s="15"/>
      <c r="AM314" s="15" t="s">
        <v>61</v>
      </c>
      <c r="AN314" s="15" t="s">
        <v>61</v>
      </c>
      <c r="AO314" s="15" t="s">
        <v>61</v>
      </c>
      <c r="AP314" s="15" t="s">
        <v>61</v>
      </c>
      <c r="AQ314" s="22"/>
      <c r="AR314" s="25"/>
      <c r="AS314" s="25"/>
      <c r="AT314" s="25"/>
      <c r="AU314" s="25"/>
      <c r="AV314" s="25"/>
      <c r="AW314" s="25"/>
      <c r="AX314" s="24"/>
    </row>
    <row r="315" spans="1:50" ht="16.5" customHeight="1">
      <c r="A315" s="36" t="s">
        <v>1514</v>
      </c>
      <c r="B315" s="28"/>
      <c r="C315" s="28" t="s">
        <v>97</v>
      </c>
      <c r="D315" s="28"/>
      <c r="E315" s="28"/>
      <c r="F315" s="32" t="s">
        <v>61</v>
      </c>
      <c r="G315" s="28"/>
      <c r="H315" s="28" t="str">
        <f>IF(ISNUMBER(Table810[[#This Row],[Total Capacity]]),"USBR Enterprise Asset Registry",IF(Table810[[#This Row],[Total Capacity]]="",""))</f>
        <v/>
      </c>
      <c r="I315" s="28"/>
      <c r="J315" s="28"/>
      <c r="K315" s="28"/>
      <c r="L315" s="50" t="s">
        <v>98</v>
      </c>
      <c r="M315" s="48"/>
      <c r="N315" s="50" t="s">
        <v>98</v>
      </c>
      <c r="O315" s="28"/>
      <c r="P315" s="37"/>
      <c r="Q315" s="28" t="str">
        <f>IF(OR(Table810[[#This Row],[Post-Review Decision]]="Include", Table810[[#This Row],[Post-Review Decision]]="Include if possible", Table810[[#This Row],[Post-Review Decision]]="Include (Omit % Avg if needed)",  Table810[[#This Row],[Post-Review Decision]]="Include (Omit % Avg)"),Table810[[#This Row],[EAR Total Capacity]],"")</f>
        <v/>
      </c>
      <c r="R315" s="28"/>
      <c r="S315" s="45">
        <v>0</v>
      </c>
      <c r="T315" s="28"/>
      <c r="U315" s="28"/>
      <c r="V315" s="13" t="s">
        <v>438</v>
      </c>
      <c r="W315" s="12" t="b">
        <f>ISNUMBER(Table810[[#This Row],[EAR Total Capacity]])</f>
        <v>0</v>
      </c>
      <c r="X315" s="12" t="b">
        <f>IF(Table810[[#This Row],[Has  Storage for Full Averaging Period?]]="OK",TRUE,FALSE)</f>
        <v>0</v>
      </c>
      <c r="Y315" s="12" t="b">
        <f>IFERROR(IF(YEAR(Table810[[#This Row],[RISE Storage End Date]])=2025,TRUE,FALSE),FALSE)</f>
        <v>0</v>
      </c>
      <c r="Z315" s="11" t="b">
        <v>0</v>
      </c>
      <c r="AA315" s="13">
        <v>851</v>
      </c>
      <c r="AB315" s="13" t="s">
        <v>76</v>
      </c>
      <c r="AC315" s="13" t="s">
        <v>1515</v>
      </c>
      <c r="AD315" s="13" t="s">
        <v>1514</v>
      </c>
      <c r="AE315" s="13" t="s">
        <v>78</v>
      </c>
      <c r="AF315" s="13" t="s">
        <v>1516</v>
      </c>
      <c r="AG315" s="13" t="s">
        <v>159</v>
      </c>
      <c r="AH315" s="13" t="s">
        <v>160</v>
      </c>
      <c r="AI315" s="13" t="s">
        <v>356</v>
      </c>
      <c r="AJ315" s="13"/>
      <c r="AK315" s="15"/>
      <c r="AL315" s="15"/>
      <c r="AM315" s="15" t="s">
        <v>61</v>
      </c>
      <c r="AN315" s="15" t="s">
        <v>61</v>
      </c>
      <c r="AO315" s="15" t="s">
        <v>61</v>
      </c>
      <c r="AP315" s="15" t="s">
        <v>61</v>
      </c>
      <c r="AQ315" s="21" t="s">
        <v>136</v>
      </c>
      <c r="AR315" s="25"/>
      <c r="AS315" s="25"/>
      <c r="AT315" s="25"/>
      <c r="AU315" s="25"/>
      <c r="AV315" s="25"/>
      <c r="AW315" s="25"/>
      <c r="AX315" s="24"/>
    </row>
    <row r="316" spans="1:50" ht="16.5" customHeight="1">
      <c r="A316" s="36" t="s">
        <v>1517</v>
      </c>
      <c r="B316" s="32"/>
      <c r="C316" s="32" t="s">
        <v>97</v>
      </c>
      <c r="D316" s="32"/>
      <c r="E316" s="32"/>
      <c r="F316" s="28" t="s">
        <v>61</v>
      </c>
      <c r="G316" s="32"/>
      <c r="H316" s="32" t="str">
        <f>IF(ISNUMBER(Table810[[#This Row],[Total Capacity]]),"USBR Enterprise Asset Registry",IF(Table810[[#This Row],[Total Capacity]]="",""))</f>
        <v/>
      </c>
      <c r="I316" s="32"/>
      <c r="J316" s="32"/>
      <c r="K316" s="32"/>
      <c r="L316" s="53" t="s">
        <v>98</v>
      </c>
      <c r="M316" s="48"/>
      <c r="N316" s="50" t="s">
        <v>98</v>
      </c>
      <c r="O316" s="32"/>
      <c r="P316" s="41"/>
      <c r="Q316" s="32" t="str">
        <f>IF(OR(Table810[[#This Row],[Post-Review Decision]]="Include", Table810[[#This Row],[Post-Review Decision]]="Include if possible", Table810[[#This Row],[Post-Review Decision]]="Include (Omit % Avg if needed)",  Table810[[#This Row],[Post-Review Decision]]="Include (Omit % Avg)"),Table810[[#This Row],[EAR Total Capacity]],"")</f>
        <v/>
      </c>
      <c r="R316" s="32"/>
      <c r="S316" s="45">
        <v>0</v>
      </c>
      <c r="T316" s="32"/>
      <c r="U316" s="32"/>
      <c r="V316" s="13" t="s">
        <v>438</v>
      </c>
      <c r="W316" s="12" t="b">
        <f>ISNUMBER(Table810[[#This Row],[EAR Total Capacity]])</f>
        <v>0</v>
      </c>
      <c r="X316" s="12" t="b">
        <f>IF(Table810[[#This Row],[Has  Storage for Full Averaging Period?]]="OK",TRUE,FALSE)</f>
        <v>0</v>
      </c>
      <c r="Y316" s="12" t="b">
        <f>IFERROR(IF(YEAR(Table810[[#This Row],[RISE Storage End Date]])=2025,TRUE,FALSE),FALSE)</f>
        <v>0</v>
      </c>
      <c r="Z316" s="11" t="b">
        <v>0</v>
      </c>
      <c r="AA316" s="13">
        <v>847</v>
      </c>
      <c r="AB316" s="13" t="s">
        <v>76</v>
      </c>
      <c r="AC316" s="13" t="s">
        <v>1517</v>
      </c>
      <c r="AD316" s="13" t="s">
        <v>1517</v>
      </c>
      <c r="AE316" s="13" t="s">
        <v>78</v>
      </c>
      <c r="AF316" s="13" t="s">
        <v>1518</v>
      </c>
      <c r="AG316" s="13" t="s">
        <v>159</v>
      </c>
      <c r="AH316" s="13" t="s">
        <v>160</v>
      </c>
      <c r="AI316" s="13" t="s">
        <v>356</v>
      </c>
      <c r="AJ316" s="13"/>
      <c r="AK316" s="15"/>
      <c r="AL316" s="15"/>
      <c r="AM316" s="15" t="s">
        <v>61</v>
      </c>
      <c r="AN316" s="15" t="s">
        <v>61</v>
      </c>
      <c r="AO316" s="15" t="s">
        <v>61</v>
      </c>
      <c r="AP316" s="15" t="s">
        <v>61</v>
      </c>
      <c r="AQ316" s="21" t="s">
        <v>136</v>
      </c>
      <c r="AR316" s="25"/>
      <c r="AS316" s="25"/>
      <c r="AT316" s="25"/>
      <c r="AU316" s="25"/>
      <c r="AV316" s="25"/>
      <c r="AW316" s="25"/>
      <c r="AX316" s="24"/>
    </row>
    <row r="317" spans="1:50" ht="16.5" customHeight="1">
      <c r="A317" s="36" t="s">
        <v>1519</v>
      </c>
      <c r="B317" s="28"/>
      <c r="C317" s="28" t="s">
        <v>97</v>
      </c>
      <c r="D317" s="28"/>
      <c r="E317" s="28"/>
      <c r="F317" s="32" t="s">
        <v>61</v>
      </c>
      <c r="G317" s="28"/>
      <c r="H317" s="28" t="str">
        <f>IF(ISNUMBER(Table810[[#This Row],[Total Capacity]]),"USBR Enterprise Asset Registry",IF(Table810[[#This Row],[Total Capacity]]="",""))</f>
        <v/>
      </c>
      <c r="I317" s="28"/>
      <c r="J317" s="28"/>
      <c r="K317" s="28"/>
      <c r="L317" s="50" t="s">
        <v>98</v>
      </c>
      <c r="M317" s="48"/>
      <c r="N317" s="50" t="s">
        <v>98</v>
      </c>
      <c r="O317" s="28"/>
      <c r="P317" s="37"/>
      <c r="Q317" s="28" t="str">
        <f>IF(OR(Table810[[#This Row],[Post-Review Decision]]="Include", Table810[[#This Row],[Post-Review Decision]]="Include if possible", Table810[[#This Row],[Post-Review Decision]]="Include (Omit % Avg if needed)",  Table810[[#This Row],[Post-Review Decision]]="Include (Omit % Avg)"),Table810[[#This Row],[EAR Total Capacity]],"")</f>
        <v/>
      </c>
      <c r="R317" s="28"/>
      <c r="S317" s="45">
        <v>0</v>
      </c>
      <c r="T317" s="28"/>
      <c r="U317" s="28"/>
      <c r="V317" s="13" t="s">
        <v>606</v>
      </c>
      <c r="W317" s="12" t="b">
        <f>ISNUMBER(Table810[[#This Row],[EAR Total Capacity]])</f>
        <v>0</v>
      </c>
      <c r="X317" s="12" t="b">
        <f>IF(Table810[[#This Row],[Has  Storage for Full Averaging Period?]]="OK",TRUE,FALSE)</f>
        <v>0</v>
      </c>
      <c r="Y317" s="12" t="b">
        <f>IFERROR(IF(YEAR(Table810[[#This Row],[RISE Storage End Date]])=2025,TRUE,FALSE),FALSE)</f>
        <v>0</v>
      </c>
      <c r="Z317" s="11" t="b">
        <v>0</v>
      </c>
      <c r="AA317" s="13">
        <v>311</v>
      </c>
      <c r="AB317" s="13" t="s">
        <v>76</v>
      </c>
      <c r="AC317" s="13" t="s">
        <v>1520</v>
      </c>
      <c r="AD317" s="13" t="s">
        <v>1519</v>
      </c>
      <c r="AE317" s="13" t="s">
        <v>101</v>
      </c>
      <c r="AF317" s="13" t="s">
        <v>1521</v>
      </c>
      <c r="AG317" s="13" t="s">
        <v>91</v>
      </c>
      <c r="AH317" s="13" t="s">
        <v>102</v>
      </c>
      <c r="AI317" s="13" t="s">
        <v>103</v>
      </c>
      <c r="AJ317" s="14"/>
      <c r="AK317" s="15"/>
      <c r="AL317" s="15"/>
      <c r="AM317" s="15" t="s">
        <v>61</v>
      </c>
      <c r="AN317" s="15" t="s">
        <v>61</v>
      </c>
      <c r="AO317" s="15" t="s">
        <v>61</v>
      </c>
      <c r="AP317" s="15" t="s">
        <v>61</v>
      </c>
      <c r="AQ317" s="22"/>
      <c r="AR317" s="25"/>
      <c r="AS317" s="25"/>
      <c r="AT317" s="25"/>
      <c r="AU317" s="25"/>
      <c r="AV317" s="25"/>
      <c r="AW317" s="25"/>
      <c r="AX317" s="24"/>
    </row>
    <row r="318" spans="1:50" ht="16.5" customHeight="1">
      <c r="A318" s="36" t="s">
        <v>1522</v>
      </c>
      <c r="B318" s="32"/>
      <c r="C318" s="32" t="s">
        <v>97</v>
      </c>
      <c r="D318" s="32"/>
      <c r="E318" s="32"/>
      <c r="F318" s="32" t="s">
        <v>61</v>
      </c>
      <c r="G318" s="32"/>
      <c r="H318" s="32" t="str">
        <f>IF(ISNUMBER(Table810[[#This Row],[Total Capacity]]),"USBR Enterprise Asset Registry",IF(Table810[[#This Row],[Total Capacity]]="",""))</f>
        <v/>
      </c>
      <c r="I318" s="32"/>
      <c r="J318" s="32"/>
      <c r="K318" s="32"/>
      <c r="L318" s="53" t="s">
        <v>98</v>
      </c>
      <c r="M318" s="48"/>
      <c r="N318" s="50" t="s">
        <v>98</v>
      </c>
      <c r="O318" s="32"/>
      <c r="P318" s="41"/>
      <c r="Q318" s="32" t="str">
        <f>IF(OR(Table810[[#This Row],[Post-Review Decision]]="Include", Table810[[#This Row],[Post-Review Decision]]="Include if possible", Table810[[#This Row],[Post-Review Decision]]="Include (Omit % Avg if needed)",  Table810[[#This Row],[Post-Review Decision]]="Include (Omit % Avg)"),Table810[[#This Row],[EAR Total Capacity]],"")</f>
        <v/>
      </c>
      <c r="R318" s="32"/>
      <c r="S318" s="45">
        <v>0</v>
      </c>
      <c r="T318" s="32"/>
      <c r="U318" s="32"/>
      <c r="V318" s="13" t="s">
        <v>904</v>
      </c>
      <c r="W318" s="12" t="b">
        <f>ISNUMBER(Table810[[#This Row],[EAR Total Capacity]])</f>
        <v>1</v>
      </c>
      <c r="X318" s="12" t="b">
        <f>IF(Table810[[#This Row],[Has  Storage for Full Averaging Period?]]="OK",TRUE,FALSE)</f>
        <v>0</v>
      </c>
      <c r="Y318" s="12" t="b">
        <f>IFERROR(IF(YEAR(Table810[[#This Row],[RISE Storage End Date]])=2025,TRUE,FALSE),FALSE)</f>
        <v>0</v>
      </c>
      <c r="Z318" s="11" t="b">
        <v>0</v>
      </c>
      <c r="AA318" s="13">
        <v>312</v>
      </c>
      <c r="AB318" s="13" t="s">
        <v>76</v>
      </c>
      <c r="AC318" s="13" t="s">
        <v>1523</v>
      </c>
      <c r="AD318" s="13" t="s">
        <v>1522</v>
      </c>
      <c r="AE318" s="13" t="s">
        <v>78</v>
      </c>
      <c r="AF318" s="13" t="s">
        <v>1524</v>
      </c>
      <c r="AG318" s="13" t="s">
        <v>91</v>
      </c>
      <c r="AH318" s="13" t="s">
        <v>102</v>
      </c>
      <c r="AI318" s="13" t="s">
        <v>110</v>
      </c>
      <c r="AJ318" s="14">
        <v>74</v>
      </c>
      <c r="AK318" s="15"/>
      <c r="AL318" s="15"/>
      <c r="AM318" s="15" t="s">
        <v>61</v>
      </c>
      <c r="AN318" s="15" t="s">
        <v>61</v>
      </c>
      <c r="AO318" s="15" t="s">
        <v>61</v>
      </c>
      <c r="AP318" s="15" t="s">
        <v>61</v>
      </c>
      <c r="AQ318" s="21" t="s">
        <v>136</v>
      </c>
      <c r="AR318" s="25"/>
      <c r="AS318" s="25"/>
      <c r="AT318" s="25"/>
      <c r="AU318" s="25"/>
      <c r="AV318" s="25"/>
      <c r="AW318" s="25"/>
      <c r="AX318" s="24"/>
    </row>
    <row r="319" spans="1:50" ht="16.5" customHeight="1">
      <c r="A319" s="36" t="s">
        <v>1525</v>
      </c>
      <c r="B319" s="32"/>
      <c r="C319" s="32" t="s">
        <v>97</v>
      </c>
      <c r="D319" s="32"/>
      <c r="E319" s="32"/>
      <c r="F319" s="32" t="s">
        <v>61</v>
      </c>
      <c r="G319" s="32"/>
      <c r="H319" s="32" t="str">
        <f>IF(ISNUMBER(Table810[[#This Row],[Total Capacity]]),"USBR Enterprise Asset Registry",IF(Table810[[#This Row],[Total Capacity]]="",""))</f>
        <v/>
      </c>
      <c r="I319" s="32"/>
      <c r="J319" s="32"/>
      <c r="K319" s="32"/>
      <c r="L319" s="53" t="s">
        <v>98</v>
      </c>
      <c r="M319" s="48"/>
      <c r="N319" s="50" t="s">
        <v>98</v>
      </c>
      <c r="O319" s="32"/>
      <c r="P319" s="41"/>
      <c r="Q319" s="32" t="str">
        <f>IF(OR(Table810[[#This Row],[Post-Review Decision]]="Include", Table810[[#This Row],[Post-Review Decision]]="Include if possible", Table810[[#This Row],[Post-Review Decision]]="Include (Omit % Avg if needed)",  Table810[[#This Row],[Post-Review Decision]]="Include (Omit % Avg)"),Table810[[#This Row],[EAR Total Capacity]],"")</f>
        <v/>
      </c>
      <c r="R319" s="32">
        <v>20794</v>
      </c>
      <c r="S319" s="46">
        <v>53752</v>
      </c>
      <c r="T319" s="32"/>
      <c r="U319" s="32"/>
      <c r="V319" s="13" t="s">
        <v>1207</v>
      </c>
      <c r="W319" s="12" t="b">
        <f>ISNUMBER(Table810[[#This Row],[EAR Total Capacity]])</f>
        <v>1</v>
      </c>
      <c r="X319" s="12" t="b">
        <f>IF(Table810[[#This Row],[Has  Storage for Full Averaging Period?]]="OK",TRUE,FALSE)</f>
        <v>0</v>
      </c>
      <c r="Y319" s="12" t="b">
        <f>IFERROR(IF(YEAR(Table810[[#This Row],[RISE Storage End Date]])=2025,TRUE,FALSE),FALSE)</f>
        <v>0</v>
      </c>
      <c r="Z319" s="11" t="b">
        <v>0</v>
      </c>
      <c r="AA319" s="13">
        <v>313</v>
      </c>
      <c r="AB319" s="13" t="s">
        <v>76</v>
      </c>
      <c r="AC319" s="13" t="s">
        <v>1525</v>
      </c>
      <c r="AD319" s="13" t="s">
        <v>1525</v>
      </c>
      <c r="AE319" s="13" t="s">
        <v>78</v>
      </c>
      <c r="AF319" s="13" t="s">
        <v>1526</v>
      </c>
      <c r="AG319" s="13" t="s">
        <v>159</v>
      </c>
      <c r="AH319" s="13" t="s">
        <v>160</v>
      </c>
      <c r="AI319" s="13" t="s">
        <v>110</v>
      </c>
      <c r="AJ319" s="14">
        <v>56426</v>
      </c>
      <c r="AK319" s="15"/>
      <c r="AL319" s="15"/>
      <c r="AM319" s="15" t="s">
        <v>61</v>
      </c>
      <c r="AN319" s="15" t="s">
        <v>61</v>
      </c>
      <c r="AO319" s="15" t="s">
        <v>61</v>
      </c>
      <c r="AP319" s="15" t="s">
        <v>61</v>
      </c>
      <c r="AQ319" s="21" t="s">
        <v>136</v>
      </c>
      <c r="AR319" s="25"/>
      <c r="AS319" s="25"/>
      <c r="AT319" s="25"/>
      <c r="AU319" s="25"/>
      <c r="AV319" s="25"/>
      <c r="AW319" s="25"/>
      <c r="AX319" s="24"/>
    </row>
    <row r="320" spans="1:50" ht="16.5" customHeight="1">
      <c r="A320" s="36" t="s">
        <v>1527</v>
      </c>
      <c r="B320" s="32"/>
      <c r="C320" s="32" t="s">
        <v>97</v>
      </c>
      <c r="D320" s="32"/>
      <c r="E320" s="32"/>
      <c r="F320" s="28">
        <v>3200</v>
      </c>
      <c r="G320" s="32"/>
      <c r="H320" s="32" t="str">
        <f>IF(ISNUMBER(Table810[[#This Row],[Total Capacity]]),"USBR Enterprise Asset Registry",IF(Table810[[#This Row],[Total Capacity]]="",""))</f>
        <v/>
      </c>
      <c r="I320" s="32"/>
      <c r="J320" s="32"/>
      <c r="K320" s="32"/>
      <c r="L320" s="53" t="s">
        <v>98</v>
      </c>
      <c r="M320" s="48"/>
      <c r="N320" s="50" t="s">
        <v>98</v>
      </c>
      <c r="O320" s="32"/>
      <c r="P320" s="41"/>
      <c r="Q320" s="32" t="str">
        <f>IF(OR(Table810[[#This Row],[Post-Review Decision]]="Include", Table810[[#This Row],[Post-Review Decision]]="Include if possible", Table810[[#This Row],[Post-Review Decision]]="Include (Omit % Avg if needed)",  Table810[[#This Row],[Post-Review Decision]]="Include (Omit % Avg)"),Table810[[#This Row],[EAR Total Capacity]],"")</f>
        <v/>
      </c>
      <c r="R320" s="32"/>
      <c r="S320" s="45" t="s">
        <v>59</v>
      </c>
      <c r="T320" s="32"/>
      <c r="U320" s="32"/>
      <c r="V320" s="17" t="s">
        <v>61</v>
      </c>
      <c r="W320" s="12" t="b">
        <f>ISNUMBER(Table810[[#This Row],[EAR Total Capacity]])</f>
        <v>0</v>
      </c>
      <c r="X320" s="12" t="b">
        <f>IF(Table810[[#This Row],[Has  Storage for Full Averaging Period?]]="OK",TRUE,FALSE)</f>
        <v>0</v>
      </c>
      <c r="Y320" s="12" t="b">
        <f>IFERROR(IF(YEAR(Table810[[#This Row],[RISE Storage End Date]])=2025,TRUE,FALSE),FALSE)</f>
        <v>0</v>
      </c>
      <c r="Z320" s="11" t="b">
        <v>0</v>
      </c>
      <c r="AA320" s="16" t="s">
        <v>61</v>
      </c>
      <c r="AB320" s="17" t="s">
        <v>61</v>
      </c>
      <c r="AC320" s="17" t="s">
        <v>61</v>
      </c>
      <c r="AD320" s="17" t="s">
        <v>61</v>
      </c>
      <c r="AE320" s="17" t="s">
        <v>61</v>
      </c>
      <c r="AF320" s="17" t="s">
        <v>61</v>
      </c>
      <c r="AG320" s="17" t="s">
        <v>61</v>
      </c>
      <c r="AH320" s="17" t="s">
        <v>61</v>
      </c>
      <c r="AI320" s="17" t="s">
        <v>61</v>
      </c>
      <c r="AJ320" s="17" t="s">
        <v>61</v>
      </c>
      <c r="AK320" s="18"/>
      <c r="AL320" s="18"/>
      <c r="AM320" s="13" t="s">
        <v>1528</v>
      </c>
      <c r="AN320" s="11" t="s">
        <v>246</v>
      </c>
      <c r="AO320" s="11" t="s">
        <v>1527</v>
      </c>
      <c r="AP320" s="11" t="s">
        <v>1527</v>
      </c>
      <c r="AQ320" s="21" t="s">
        <v>136</v>
      </c>
      <c r="AR320" s="25"/>
      <c r="AS320" s="25"/>
      <c r="AT320" s="25"/>
      <c r="AU320" s="25"/>
      <c r="AV320" s="25"/>
      <c r="AW320" s="25"/>
      <c r="AX320" s="23"/>
    </row>
    <row r="321" spans="1:50" ht="16.5" customHeight="1">
      <c r="A321" s="36" t="s">
        <v>1529</v>
      </c>
      <c r="B321" s="28"/>
      <c r="C321" s="28" t="s">
        <v>97</v>
      </c>
      <c r="D321" s="28"/>
      <c r="E321" s="28"/>
      <c r="F321" s="28" t="s">
        <v>61</v>
      </c>
      <c r="G321" s="28"/>
      <c r="H321" s="28" t="str">
        <f>IF(ISNUMBER(Table810[[#This Row],[Total Capacity]]),"USBR Enterprise Asset Registry",IF(Table810[[#This Row],[Total Capacity]]="",""))</f>
        <v/>
      </c>
      <c r="I321" s="28"/>
      <c r="J321" s="28"/>
      <c r="K321" s="28"/>
      <c r="L321" s="50" t="s">
        <v>98</v>
      </c>
      <c r="M321" s="48"/>
      <c r="N321" s="50" t="s">
        <v>98</v>
      </c>
      <c r="O321" s="28"/>
      <c r="P321" s="37"/>
      <c r="Q321" s="28" t="str">
        <f>IF(OR(Table810[[#This Row],[Post-Review Decision]]="Include", Table810[[#This Row],[Post-Review Decision]]="Include if possible", Table810[[#This Row],[Post-Review Decision]]="Include (Omit % Avg if needed)",  Table810[[#This Row],[Post-Review Decision]]="Include (Omit % Avg)"),Table810[[#This Row],[EAR Total Capacity]],"")</f>
        <v/>
      </c>
      <c r="R321" s="28">
        <v>60</v>
      </c>
      <c r="S321" s="45">
        <v>0</v>
      </c>
      <c r="T321" s="28"/>
      <c r="U321" s="28"/>
      <c r="V321" s="13" t="s">
        <v>400</v>
      </c>
      <c r="W321" s="12" t="b">
        <f>ISNUMBER(Table810[[#This Row],[EAR Total Capacity]])</f>
        <v>1</v>
      </c>
      <c r="X321" s="12" t="b">
        <f>IF(Table810[[#This Row],[Has  Storage for Full Averaging Period?]]="OK",TRUE,FALSE)</f>
        <v>0</v>
      </c>
      <c r="Y321" s="12" t="b">
        <f>IFERROR(IF(YEAR(Table810[[#This Row],[RISE Storage End Date]])=2025,TRUE,FALSE),FALSE)</f>
        <v>0</v>
      </c>
      <c r="Z321" s="11" t="b">
        <v>0</v>
      </c>
      <c r="AA321" s="13">
        <v>314</v>
      </c>
      <c r="AB321" s="13" t="s">
        <v>76</v>
      </c>
      <c r="AC321" s="13" t="s">
        <v>1530</v>
      </c>
      <c r="AD321" s="13" t="s">
        <v>1529</v>
      </c>
      <c r="AE321" s="13" t="s">
        <v>78</v>
      </c>
      <c r="AF321" s="13" t="s">
        <v>1531</v>
      </c>
      <c r="AG321" s="13" t="s">
        <v>179</v>
      </c>
      <c r="AH321" s="13" t="s">
        <v>160</v>
      </c>
      <c r="AI321" s="13" t="s">
        <v>110</v>
      </c>
      <c r="AJ321" s="13">
        <v>60</v>
      </c>
      <c r="AK321" s="15"/>
      <c r="AL321" s="15"/>
      <c r="AM321" s="15" t="s">
        <v>61</v>
      </c>
      <c r="AN321" s="15" t="s">
        <v>61</v>
      </c>
      <c r="AO321" s="15" t="s">
        <v>61</v>
      </c>
      <c r="AP321" s="15" t="s">
        <v>61</v>
      </c>
      <c r="AQ321" s="21" t="s">
        <v>136</v>
      </c>
      <c r="AR321" s="25"/>
      <c r="AS321" s="25"/>
      <c r="AT321" s="25"/>
      <c r="AU321" s="25"/>
      <c r="AV321" s="25"/>
      <c r="AW321" s="25"/>
      <c r="AX321" s="24"/>
    </row>
    <row r="322" spans="1:50" ht="16.5" customHeight="1">
      <c r="A322" s="36" t="s">
        <v>1532</v>
      </c>
      <c r="B322" s="28"/>
      <c r="C322" s="28" t="s">
        <v>97</v>
      </c>
      <c r="D322" s="28"/>
      <c r="E322" s="28"/>
      <c r="F322" s="28" t="s">
        <v>61</v>
      </c>
      <c r="G322" s="28"/>
      <c r="H322" s="28" t="str">
        <f>IF(ISNUMBER(Table810[[#This Row],[Total Capacity]]),"USBR Enterprise Asset Registry",IF(Table810[[#This Row],[Total Capacity]]="",""))</f>
        <v/>
      </c>
      <c r="I322" s="28"/>
      <c r="J322" s="28"/>
      <c r="K322" s="28"/>
      <c r="L322" s="50" t="s">
        <v>98</v>
      </c>
      <c r="M322" s="48"/>
      <c r="N322" s="50" t="s">
        <v>98</v>
      </c>
      <c r="O322" s="28"/>
      <c r="P322" s="37"/>
      <c r="Q322" s="28" t="str">
        <f>IF(OR(Table810[[#This Row],[Post-Review Decision]]="Include", Table810[[#This Row],[Post-Review Decision]]="Include if possible", Table810[[#This Row],[Post-Review Decision]]="Include (Omit % Avg if needed)",  Table810[[#This Row],[Post-Review Decision]]="Include (Omit % Avg)"),Table810[[#This Row],[EAR Total Capacity]],"")</f>
        <v/>
      </c>
      <c r="R322" s="28"/>
      <c r="S322" s="45">
        <v>0</v>
      </c>
      <c r="T322" s="28"/>
      <c r="U322" s="28"/>
      <c r="V322" s="13" t="s">
        <v>293</v>
      </c>
      <c r="W322" s="12" t="b">
        <f>ISNUMBER(Table810[[#This Row],[EAR Total Capacity]])</f>
        <v>1</v>
      </c>
      <c r="X322" s="12" t="b">
        <f>IF(Table810[[#This Row],[Has  Storage for Full Averaging Period?]]="OK",TRUE,FALSE)</f>
        <v>0</v>
      </c>
      <c r="Y322" s="12" t="b">
        <f>IFERROR(IF(YEAR(Table810[[#This Row],[RISE Storage End Date]])=2025,TRUE,FALSE),FALSE)</f>
        <v>0</v>
      </c>
      <c r="Z322" s="11" t="b">
        <v>0</v>
      </c>
      <c r="AA322" s="13">
        <v>315</v>
      </c>
      <c r="AB322" s="13" t="s">
        <v>76</v>
      </c>
      <c r="AC322" s="13" t="s">
        <v>1533</v>
      </c>
      <c r="AD322" s="13" t="s">
        <v>1532</v>
      </c>
      <c r="AE322" s="13" t="s">
        <v>101</v>
      </c>
      <c r="AF322" s="13" t="s">
        <v>1534</v>
      </c>
      <c r="AG322" s="13" t="s">
        <v>91</v>
      </c>
      <c r="AH322" s="13" t="s">
        <v>102</v>
      </c>
      <c r="AI322" s="13" t="s">
        <v>103</v>
      </c>
      <c r="AJ322" s="14">
        <v>48</v>
      </c>
      <c r="AK322" s="15"/>
      <c r="AL322" s="15"/>
      <c r="AM322" s="15" t="s">
        <v>61</v>
      </c>
      <c r="AN322" s="15" t="s">
        <v>61</v>
      </c>
      <c r="AO322" s="15" t="s">
        <v>61</v>
      </c>
      <c r="AP322" s="15" t="s">
        <v>61</v>
      </c>
      <c r="AQ322" s="22"/>
      <c r="AR322" s="25"/>
      <c r="AS322" s="25"/>
      <c r="AT322" s="25"/>
      <c r="AU322" s="25"/>
      <c r="AV322" s="25"/>
      <c r="AW322" s="25"/>
      <c r="AX322" s="24"/>
    </row>
    <row r="323" spans="1:50" ht="16.5" customHeight="1">
      <c r="A323" s="36" t="s">
        <v>1535</v>
      </c>
      <c r="B323" s="28" t="s">
        <v>68</v>
      </c>
      <c r="C323" s="28" t="s">
        <v>69</v>
      </c>
      <c r="D323" s="28"/>
      <c r="E323" s="28" t="s">
        <v>70</v>
      </c>
      <c r="F323" s="28">
        <v>7192</v>
      </c>
      <c r="G323" s="28">
        <v>3</v>
      </c>
      <c r="H323" s="28" t="str">
        <f>IF(ISNUMBER(Table810[[#This Row],[Total Capacity]]),"USBR Enterprise Asset Registry",IF(Table810[[#This Row],[Total Capacity]]="",""))</f>
        <v>USBR Enterprise Asset Registry</v>
      </c>
      <c r="I323" s="28" t="s">
        <v>71</v>
      </c>
      <c r="J323" s="28" t="s">
        <v>72</v>
      </c>
      <c r="K323" s="28"/>
      <c r="L323" s="50">
        <v>715000</v>
      </c>
      <c r="M323" s="48"/>
      <c r="N323" s="50">
        <v>715000</v>
      </c>
      <c r="O323" s="28"/>
      <c r="P323" s="37"/>
      <c r="Q323" s="28">
        <f>IF(OR(Table810[[#This Row],[Post-Review Decision]]="Include", Table810[[#This Row],[Post-Review Decision]]="Include if possible", Table810[[#This Row],[Post-Review Decision]]="Include (Omit % Avg if needed)",  Table810[[#This Row],[Post-Review Decision]]="Include (Omit % Avg)"),Table810[[#This Row],[EAR Total Capacity]],"")</f>
        <v>1120000</v>
      </c>
      <c r="R323" s="28">
        <v>715000</v>
      </c>
      <c r="S323" s="46">
        <v>1120000</v>
      </c>
      <c r="T323" s="28" t="s">
        <v>1535</v>
      </c>
      <c r="U323" s="28" t="s">
        <v>1536</v>
      </c>
      <c r="V323" s="13" t="s">
        <v>1537</v>
      </c>
      <c r="W323" s="12" t="b">
        <f>ISNUMBER(Table810[[#This Row],[EAR Total Capacity]])</f>
        <v>1</v>
      </c>
      <c r="X323" s="12" t="s">
        <v>75</v>
      </c>
      <c r="Y323" s="12" t="b">
        <f>IFERROR(IF(YEAR(Table810[[#This Row],[RISE Storage End Date]])=2025,TRUE,FALSE),FALSE)</f>
        <v>0</v>
      </c>
      <c r="Z323" s="11" t="b">
        <v>0</v>
      </c>
      <c r="AA323" s="13">
        <v>227</v>
      </c>
      <c r="AB323" s="13" t="s">
        <v>76</v>
      </c>
      <c r="AC323" s="13" t="s">
        <v>1538</v>
      </c>
      <c r="AD323" s="13" t="s">
        <v>1535</v>
      </c>
      <c r="AE323" s="13" t="s">
        <v>78</v>
      </c>
      <c r="AF323" s="13" t="s">
        <v>1539</v>
      </c>
      <c r="AG323" s="13" t="s">
        <v>80</v>
      </c>
      <c r="AH323" s="13" t="s">
        <v>81</v>
      </c>
      <c r="AI323" s="13" t="s">
        <v>93</v>
      </c>
      <c r="AJ323" s="19">
        <v>1120000</v>
      </c>
      <c r="AK323" s="18"/>
      <c r="AL323" s="18"/>
      <c r="AM323" s="13" t="s">
        <v>1540</v>
      </c>
      <c r="AN323" s="13" t="s">
        <v>84</v>
      </c>
      <c r="AO323" s="13" t="s">
        <v>1535</v>
      </c>
      <c r="AP323" s="13" t="s">
        <v>1535</v>
      </c>
      <c r="AQ323" s="21" t="s">
        <v>64</v>
      </c>
      <c r="AR323" s="25"/>
      <c r="AS323" s="25"/>
      <c r="AT323" s="25"/>
      <c r="AU323" s="25"/>
      <c r="AV323" s="25"/>
      <c r="AW323" s="25"/>
      <c r="AX323" s="24"/>
    </row>
    <row r="324" spans="1:50" ht="16.5" customHeight="1">
      <c r="A324" s="36" t="s">
        <v>1541</v>
      </c>
      <c r="B324" s="28" t="s">
        <v>68</v>
      </c>
      <c r="C324" s="28" t="s">
        <v>86</v>
      </c>
      <c r="D324" s="28"/>
      <c r="E324" s="28" t="s">
        <v>70</v>
      </c>
      <c r="F324" s="28">
        <v>444</v>
      </c>
      <c r="G324" s="28">
        <v>3</v>
      </c>
      <c r="H324" s="28" t="str">
        <f>IF(ISNUMBER(Table810[[#This Row],[Total Capacity]]),"USBR Enterprise Asset Registry",IF(Table810[[#This Row],[Total Capacity]]="",""))</f>
        <v>USBR Enterprise Asset Registry</v>
      </c>
      <c r="I324" s="28" t="s">
        <v>71</v>
      </c>
      <c r="J324" s="28" t="s">
        <v>127</v>
      </c>
      <c r="K324" s="28">
        <v>43057</v>
      </c>
      <c r="L324" s="50">
        <v>54955</v>
      </c>
      <c r="M324" s="48"/>
      <c r="N324" s="50">
        <v>54955</v>
      </c>
      <c r="O324" s="28"/>
      <c r="P324" s="37"/>
      <c r="Q324" s="28">
        <f>IF(OR(Table810[[#This Row],[Post-Review Decision]]="Include", Table810[[#This Row],[Post-Review Decision]]="Include if possible", Table810[[#This Row],[Post-Review Decision]]="Include (Omit % Avg if needed)",  Table810[[#This Row],[Post-Review Decision]]="Include (Omit % Avg)"),Table810[[#This Row],[EAR Total Capacity]],"")</f>
        <v>99029</v>
      </c>
      <c r="R324" s="28">
        <v>98012</v>
      </c>
      <c r="S324" s="46">
        <v>98907</v>
      </c>
      <c r="T324" s="28" t="s">
        <v>1541</v>
      </c>
      <c r="U324" s="28" t="s">
        <v>1542</v>
      </c>
      <c r="V324" s="13" t="s">
        <v>1543</v>
      </c>
      <c r="W324" s="12" t="b">
        <f>ISNUMBER(Table810[[#This Row],[EAR Total Capacity]])</f>
        <v>1</v>
      </c>
      <c r="X324" s="12" t="b">
        <f>IF(Table810[[#This Row],[Has  Storage for Full Averaging Period?]]="OK",TRUE,FALSE)</f>
        <v>1</v>
      </c>
      <c r="Y324" s="12" t="b">
        <f>IFERROR(IF(YEAR(Table810[[#This Row],[RISE Storage End Date]])=2025,TRUE,FALSE),FALSE)</f>
        <v>1</v>
      </c>
      <c r="Z324" s="11" t="b">
        <v>0</v>
      </c>
      <c r="AA324" s="13">
        <v>316</v>
      </c>
      <c r="AB324" s="13" t="s">
        <v>76</v>
      </c>
      <c r="AC324" s="13" t="s">
        <v>1544</v>
      </c>
      <c r="AD324" s="13" t="s">
        <v>1541</v>
      </c>
      <c r="AE324" s="13" t="s">
        <v>78</v>
      </c>
      <c r="AF324" s="13" t="s">
        <v>1545</v>
      </c>
      <c r="AG324" s="13" t="s">
        <v>109</v>
      </c>
      <c r="AH324" s="13" t="s">
        <v>92</v>
      </c>
      <c r="AI324" s="13" t="s">
        <v>93</v>
      </c>
      <c r="AJ324" s="14">
        <v>99029</v>
      </c>
      <c r="AK324" s="18"/>
      <c r="AL324" s="18"/>
      <c r="AM324" s="13" t="s">
        <v>1546</v>
      </c>
      <c r="AN324" s="13" t="s">
        <v>95</v>
      </c>
      <c r="AO324" s="13" t="s">
        <v>1541</v>
      </c>
      <c r="AP324" s="13" t="s">
        <v>1541</v>
      </c>
      <c r="AQ324" s="21" t="s">
        <v>64</v>
      </c>
      <c r="AR324" s="26">
        <v>20363</v>
      </c>
      <c r="AS324" s="26">
        <v>46007</v>
      </c>
      <c r="AT324" s="25">
        <v>25646</v>
      </c>
      <c r="AU324" s="25" t="s">
        <v>65</v>
      </c>
      <c r="AV324" s="25" t="s">
        <v>65</v>
      </c>
      <c r="AW324" s="25" t="s">
        <v>65</v>
      </c>
      <c r="AX324" s="24"/>
    </row>
    <row r="325" spans="1:50" ht="16.5" customHeight="1">
      <c r="A325" s="36" t="s">
        <v>1547</v>
      </c>
      <c r="B325" s="28" t="s">
        <v>68</v>
      </c>
      <c r="C325" s="28" t="s">
        <v>69</v>
      </c>
      <c r="D325" s="28"/>
      <c r="E325" s="28" t="s">
        <v>70</v>
      </c>
      <c r="F325" s="28">
        <v>7193</v>
      </c>
      <c r="G325" s="28">
        <v>3</v>
      </c>
      <c r="H325" s="28" t="str">
        <f>IF(ISNUMBER(Table810[[#This Row],[Total Capacity]]),"USBR Enterprise Asset Registry",IF(Table810[[#This Row],[Total Capacity]]="",""))</f>
        <v>USBR Enterprise Asset Registry</v>
      </c>
      <c r="I325" s="28" t="s">
        <v>71</v>
      </c>
      <c r="J325" s="28" t="s">
        <v>72</v>
      </c>
      <c r="K325" s="28"/>
      <c r="L325" s="50">
        <v>1200000</v>
      </c>
      <c r="M325" s="48"/>
      <c r="N325" s="50">
        <v>1200000</v>
      </c>
      <c r="O325" s="28"/>
      <c r="P325" s="37"/>
      <c r="Q325" s="28">
        <f>IF(OR(Table810[[#This Row],[Post-Review Decision]]="Include", Table810[[#This Row],[Post-Review Decision]]="Include if possible", Table810[[#This Row],[Post-Review Decision]]="Include (Omit % Avg if needed)",  Table810[[#This Row],[Post-Review Decision]]="Include (Omit % Avg)"),Table810[[#This Row],[EAR Total Capacity]],"")</f>
        <v>1402000</v>
      </c>
      <c r="R325" s="28">
        <v>1200000</v>
      </c>
      <c r="S325" s="46">
        <v>1358000</v>
      </c>
      <c r="T325" s="28" t="s">
        <v>1547</v>
      </c>
      <c r="U325" s="28" t="s">
        <v>1548</v>
      </c>
      <c r="V325" s="13" t="s">
        <v>1549</v>
      </c>
      <c r="W325" s="12" t="b">
        <f>ISNUMBER(Table810[[#This Row],[EAR Total Capacity]])</f>
        <v>1</v>
      </c>
      <c r="X325" s="12" t="s">
        <v>75</v>
      </c>
      <c r="Y325" s="12" t="b">
        <f>IFERROR(IF(YEAR(Table810[[#This Row],[RISE Storage End Date]])=2025,TRUE,FALSE),FALSE)</f>
        <v>0</v>
      </c>
      <c r="Z325" s="11" t="b">
        <v>0</v>
      </c>
      <c r="AA325" s="13">
        <v>317</v>
      </c>
      <c r="AB325" s="13" t="s">
        <v>76</v>
      </c>
      <c r="AC325" s="13" t="s">
        <v>1550</v>
      </c>
      <c r="AD325" s="13" t="s">
        <v>1547</v>
      </c>
      <c r="AE325" s="13" t="s">
        <v>78</v>
      </c>
      <c r="AF325" s="13" t="s">
        <v>1551</v>
      </c>
      <c r="AG325" s="13" t="s">
        <v>80</v>
      </c>
      <c r="AH325" s="13" t="s">
        <v>81</v>
      </c>
      <c r="AI325" s="13" t="s">
        <v>93</v>
      </c>
      <c r="AJ325" s="19">
        <v>1402000</v>
      </c>
      <c r="AK325" s="18"/>
      <c r="AL325" s="18"/>
      <c r="AM325" s="13" t="s">
        <v>1552</v>
      </c>
      <c r="AN325" s="13" t="s">
        <v>84</v>
      </c>
      <c r="AO325" s="13" t="s">
        <v>1547</v>
      </c>
      <c r="AP325" s="13" t="s">
        <v>1547</v>
      </c>
      <c r="AQ325" s="21" t="s">
        <v>64</v>
      </c>
      <c r="AR325" s="25"/>
      <c r="AS325" s="25"/>
      <c r="AT325" s="25"/>
      <c r="AU325" s="25"/>
      <c r="AV325" s="25"/>
      <c r="AW325" s="25"/>
      <c r="AX325" s="24"/>
    </row>
    <row r="326" spans="1:50" ht="16.5" customHeight="1">
      <c r="A326" s="36" t="s">
        <v>1553</v>
      </c>
      <c r="B326" s="28" t="s">
        <v>68</v>
      </c>
      <c r="C326" s="28" t="s">
        <v>86</v>
      </c>
      <c r="D326" s="28"/>
      <c r="E326" s="28" t="s">
        <v>70</v>
      </c>
      <c r="F326" s="28">
        <v>431</v>
      </c>
      <c r="G326" s="28">
        <v>3</v>
      </c>
      <c r="H326" s="28" t="str">
        <f>IF(ISNUMBER(Table810[[#This Row],[Total Capacity]]),"USBR Enterprise Asset Registry",IF(Table810[[#This Row],[Total Capacity]]="",""))</f>
        <v>USBR Enterprise Asset Registry</v>
      </c>
      <c r="I326" s="28" t="s">
        <v>57</v>
      </c>
      <c r="J326" s="28" t="s">
        <v>72</v>
      </c>
      <c r="K326" s="28"/>
      <c r="L326" s="50">
        <v>15120</v>
      </c>
      <c r="M326" s="48"/>
      <c r="N326" s="50">
        <v>15120</v>
      </c>
      <c r="O326" s="28"/>
      <c r="P326" s="37"/>
      <c r="Q326" s="28">
        <f>IF(OR(Table810[[#This Row],[Post-Review Decision]]="Include", Table810[[#This Row],[Post-Review Decision]]="Include if possible", Table810[[#This Row],[Post-Review Decision]]="Include (Omit % Avg if needed)",  Table810[[#This Row],[Post-Review Decision]]="Include (Omit % Avg)"),Table810[[#This Row],[EAR Total Capacity]],"")</f>
        <v>15522</v>
      </c>
      <c r="R326" s="28">
        <v>15514</v>
      </c>
      <c r="S326" s="46">
        <v>15522</v>
      </c>
      <c r="T326" s="28" t="s">
        <v>1553</v>
      </c>
      <c r="U326" s="28" t="s">
        <v>1554</v>
      </c>
      <c r="V326" s="13" t="s">
        <v>755</v>
      </c>
      <c r="W326" s="12" t="b">
        <f>ISNUMBER(Table810[[#This Row],[EAR Total Capacity]])</f>
        <v>1</v>
      </c>
      <c r="X326" s="12" t="b">
        <f>IF(Table810[[#This Row],[Has  Storage for Full Averaging Period?]]="OK",TRUE,FALSE)</f>
        <v>1</v>
      </c>
      <c r="Y326" s="12" t="b">
        <f>IFERROR(IF(YEAR(Table810[[#This Row],[RISE Storage End Date]])=2025,TRUE,FALSE),FALSE)</f>
        <v>1</v>
      </c>
      <c r="Z326" s="11" t="b">
        <v>0</v>
      </c>
      <c r="AA326" s="13">
        <v>318</v>
      </c>
      <c r="AB326" s="13" t="s">
        <v>76</v>
      </c>
      <c r="AC326" s="13" t="s">
        <v>1555</v>
      </c>
      <c r="AD326" s="13" t="s">
        <v>1553</v>
      </c>
      <c r="AE326" s="13" t="s">
        <v>78</v>
      </c>
      <c r="AF326" s="13" t="s">
        <v>1556</v>
      </c>
      <c r="AG326" s="13" t="s">
        <v>91</v>
      </c>
      <c r="AH326" s="13" t="s">
        <v>102</v>
      </c>
      <c r="AI326" s="13" t="s">
        <v>93</v>
      </c>
      <c r="AJ326" s="13">
        <v>15522</v>
      </c>
      <c r="AK326" s="18"/>
      <c r="AL326" s="18"/>
      <c r="AM326" s="13" t="s">
        <v>1557</v>
      </c>
      <c r="AN326" s="13" t="s">
        <v>63</v>
      </c>
      <c r="AO326" s="13" t="s">
        <v>1553</v>
      </c>
      <c r="AP326" s="13" t="s">
        <v>1553</v>
      </c>
      <c r="AQ326" s="21" t="s">
        <v>64</v>
      </c>
      <c r="AR326" s="26">
        <v>27327</v>
      </c>
      <c r="AS326" s="26">
        <v>46007</v>
      </c>
      <c r="AT326" s="25">
        <v>18682</v>
      </c>
      <c r="AU326" s="25" t="s">
        <v>65</v>
      </c>
      <c r="AV326" s="25" t="s">
        <v>65</v>
      </c>
      <c r="AW326" s="25" t="s">
        <v>65</v>
      </c>
      <c r="AX326" s="24"/>
    </row>
    <row r="327" spans="1:50" ht="16.5" customHeight="1">
      <c r="A327" s="36" t="s">
        <v>1558</v>
      </c>
      <c r="B327" s="28"/>
      <c r="C327" s="28" t="s">
        <v>97</v>
      </c>
      <c r="D327" s="28"/>
      <c r="E327" s="28"/>
      <c r="F327" s="28" t="s">
        <v>61</v>
      </c>
      <c r="G327" s="28"/>
      <c r="H327" s="28" t="str">
        <f>IF(ISNUMBER(Table810[[#This Row],[Total Capacity]]),"USBR Enterprise Asset Registry",IF(Table810[[#This Row],[Total Capacity]]="",""))</f>
        <v/>
      </c>
      <c r="I327" s="28"/>
      <c r="J327" s="28"/>
      <c r="K327" s="28"/>
      <c r="L327" s="50" t="s">
        <v>98</v>
      </c>
      <c r="M327" s="48"/>
      <c r="N327" s="50" t="s">
        <v>98</v>
      </c>
      <c r="O327" s="28"/>
      <c r="P327" s="37"/>
      <c r="Q327" s="28" t="str">
        <f>IF(OR(Table810[[#This Row],[Post-Review Decision]]="Include", Table810[[#This Row],[Post-Review Decision]]="Include if possible", Table810[[#This Row],[Post-Review Decision]]="Include (Omit % Avg if needed)",  Table810[[#This Row],[Post-Review Decision]]="Include (Omit % Avg)"),Table810[[#This Row],[EAR Total Capacity]],"")</f>
        <v/>
      </c>
      <c r="R327" s="28"/>
      <c r="S327" s="45">
        <v>0</v>
      </c>
      <c r="T327" s="28"/>
      <c r="U327" s="28"/>
      <c r="V327" s="13" t="s">
        <v>656</v>
      </c>
      <c r="W327" s="12" t="b">
        <f>ISNUMBER(Table810[[#This Row],[EAR Total Capacity]])</f>
        <v>0</v>
      </c>
      <c r="X327" s="12" t="b">
        <f>IF(Table810[[#This Row],[Has  Storage for Full Averaging Period?]]="OK",TRUE,FALSE)</f>
        <v>0</v>
      </c>
      <c r="Y327" s="12" t="b">
        <f>IFERROR(IF(YEAR(Table810[[#This Row],[RISE Storage End Date]])=2025,TRUE,FALSE),FALSE)</f>
        <v>0</v>
      </c>
      <c r="Z327" s="11" t="b">
        <v>0</v>
      </c>
      <c r="AA327" s="13">
        <v>319</v>
      </c>
      <c r="AB327" s="13" t="s">
        <v>76</v>
      </c>
      <c r="AC327" s="13" t="s">
        <v>1559</v>
      </c>
      <c r="AD327" s="13" t="s">
        <v>1558</v>
      </c>
      <c r="AE327" s="13" t="s">
        <v>78</v>
      </c>
      <c r="AF327" s="13" t="s">
        <v>1560</v>
      </c>
      <c r="AG327" s="13" t="s">
        <v>109</v>
      </c>
      <c r="AH327" s="13" t="s">
        <v>92</v>
      </c>
      <c r="AI327" s="13" t="s">
        <v>103</v>
      </c>
      <c r="AJ327" s="14"/>
      <c r="AK327" s="15"/>
      <c r="AL327" s="15"/>
      <c r="AM327" s="15" t="s">
        <v>61</v>
      </c>
      <c r="AN327" s="15" t="s">
        <v>61</v>
      </c>
      <c r="AO327" s="15" t="s">
        <v>61</v>
      </c>
      <c r="AP327" s="15" t="s">
        <v>61</v>
      </c>
      <c r="AQ327" s="21" t="s">
        <v>136</v>
      </c>
      <c r="AR327" s="25"/>
      <c r="AS327" s="25"/>
      <c r="AT327" s="25"/>
      <c r="AU327" s="25"/>
      <c r="AV327" s="25"/>
      <c r="AW327" s="25"/>
      <c r="AX327" s="24"/>
    </row>
    <row r="328" spans="1:50" ht="16.5" customHeight="1">
      <c r="A328" s="36" t="s">
        <v>1561</v>
      </c>
      <c r="B328" s="28"/>
      <c r="C328" s="28" t="s">
        <v>97</v>
      </c>
      <c r="D328" s="28"/>
      <c r="E328" s="28"/>
      <c r="F328" s="28" t="s">
        <v>61</v>
      </c>
      <c r="G328" s="28"/>
      <c r="H328" s="28" t="str">
        <f>IF(ISNUMBER(Table810[[#This Row],[Total Capacity]]),"USBR Enterprise Asset Registry",IF(Table810[[#This Row],[Total Capacity]]="",""))</f>
        <v/>
      </c>
      <c r="I328" s="28"/>
      <c r="J328" s="28"/>
      <c r="K328" s="28"/>
      <c r="L328" s="50" t="s">
        <v>98</v>
      </c>
      <c r="M328" s="48"/>
      <c r="N328" s="50" t="s">
        <v>98</v>
      </c>
      <c r="O328" s="28"/>
      <c r="P328" s="37"/>
      <c r="Q328" s="28" t="str">
        <f>IF(OR(Table810[[#This Row],[Post-Review Decision]]="Include", Table810[[#This Row],[Post-Review Decision]]="Include if possible", Table810[[#This Row],[Post-Review Decision]]="Include (Omit % Avg if needed)",  Table810[[#This Row],[Post-Review Decision]]="Include (Omit % Avg)"),Table810[[#This Row],[EAR Total Capacity]],"")</f>
        <v/>
      </c>
      <c r="R328" s="28"/>
      <c r="S328" s="45">
        <v>0</v>
      </c>
      <c r="T328" s="28"/>
      <c r="U328" s="28"/>
      <c r="V328" s="13" t="s">
        <v>193</v>
      </c>
      <c r="W328" s="12" t="b">
        <f>ISNUMBER(Table810[[#This Row],[EAR Total Capacity]])</f>
        <v>0</v>
      </c>
      <c r="X328" s="12" t="b">
        <f>IF(Table810[[#This Row],[Has  Storage for Full Averaging Period?]]="OK",TRUE,FALSE)</f>
        <v>0</v>
      </c>
      <c r="Y328" s="12" t="b">
        <f>IFERROR(IF(YEAR(Table810[[#This Row],[RISE Storage End Date]])=2025,TRUE,FALSE),FALSE)</f>
        <v>0</v>
      </c>
      <c r="Z328" s="11" t="b">
        <v>0</v>
      </c>
      <c r="AA328" s="13">
        <v>320</v>
      </c>
      <c r="AB328" s="13" t="s">
        <v>76</v>
      </c>
      <c r="AC328" s="13" t="s">
        <v>1562</v>
      </c>
      <c r="AD328" s="13" t="s">
        <v>1561</v>
      </c>
      <c r="AE328" s="13" t="s">
        <v>101</v>
      </c>
      <c r="AF328" s="13" t="s">
        <v>1563</v>
      </c>
      <c r="AG328" s="13" t="s">
        <v>91</v>
      </c>
      <c r="AH328" s="13" t="s">
        <v>102</v>
      </c>
      <c r="AI328" s="13" t="s">
        <v>103</v>
      </c>
      <c r="AJ328" s="14"/>
      <c r="AK328" s="15"/>
      <c r="AL328" s="15"/>
      <c r="AM328" s="15" t="s">
        <v>61</v>
      </c>
      <c r="AN328" s="15" t="s">
        <v>61</v>
      </c>
      <c r="AO328" s="15" t="s">
        <v>61</v>
      </c>
      <c r="AP328" s="15" t="s">
        <v>61</v>
      </c>
      <c r="AQ328" s="22"/>
      <c r="AR328" s="25"/>
      <c r="AS328" s="25"/>
      <c r="AT328" s="25"/>
      <c r="AU328" s="25"/>
      <c r="AV328" s="25"/>
      <c r="AW328" s="25"/>
      <c r="AX328" s="24"/>
    </row>
    <row r="329" spans="1:50" ht="16.5" customHeight="1">
      <c r="A329" s="36" t="s">
        <v>1564</v>
      </c>
      <c r="B329" s="28" t="s">
        <v>68</v>
      </c>
      <c r="C329" s="28" t="s">
        <v>86</v>
      </c>
      <c r="D329" s="28"/>
      <c r="E329" s="28" t="s">
        <v>70</v>
      </c>
      <c r="F329" s="28">
        <v>433</v>
      </c>
      <c r="G329" s="28">
        <v>3</v>
      </c>
      <c r="H329" s="28" t="str">
        <f>IF(ISNUMBER(Table810[[#This Row],[Total Capacity]]),"USBR Enterprise Asset Registry",IF(Table810[[#This Row],[Total Capacity]]="",""))</f>
        <v>USBR Enterprise Asset Registry</v>
      </c>
      <c r="I329" s="28" t="s">
        <v>57</v>
      </c>
      <c r="J329" s="28" t="s">
        <v>72</v>
      </c>
      <c r="K329" s="28"/>
      <c r="L329" s="50">
        <v>1070185</v>
      </c>
      <c r="M329" s="48"/>
      <c r="N329" s="50">
        <v>1070185</v>
      </c>
      <c r="O329" s="28"/>
      <c r="P329" s="37"/>
      <c r="Q329" s="28">
        <f>IF(OR(Table810[[#This Row],[Post-Review Decision]]="Include", Table810[[#This Row],[Post-Review Decision]]="Include if possible", Table810[[#This Row],[Post-Review Decision]]="Include (Omit % Avg if needed)",  Table810[[#This Row],[Post-Review Decision]]="Include (Omit % Avg)"),Table810[[#This Row],[EAR Total Capacity]],"")</f>
        <v>1070185</v>
      </c>
      <c r="R329" s="28">
        <v>1038780</v>
      </c>
      <c r="S329" s="46">
        <v>1070178</v>
      </c>
      <c r="T329" s="28" t="s">
        <v>1564</v>
      </c>
      <c r="U329" s="28" t="s">
        <v>1565</v>
      </c>
      <c r="V329" s="13" t="s">
        <v>107</v>
      </c>
      <c r="W329" s="12" t="b">
        <f>ISNUMBER(Table810[[#This Row],[EAR Total Capacity]])</f>
        <v>1</v>
      </c>
      <c r="X329" s="12" t="b">
        <f>IF(Table810[[#This Row],[Has  Storage for Full Averaging Period?]]="OK",TRUE,FALSE)</f>
        <v>1</v>
      </c>
      <c r="Y329" s="12" t="b">
        <f>IFERROR(IF(YEAR(Table810[[#This Row],[RISE Storage End Date]])=2025,TRUE,FALSE),FALSE)</f>
        <v>1</v>
      </c>
      <c r="Z329" s="11" t="b">
        <v>0</v>
      </c>
      <c r="AA329" s="13">
        <v>321</v>
      </c>
      <c r="AB329" s="13" t="s">
        <v>76</v>
      </c>
      <c r="AC329" s="13" t="s">
        <v>1566</v>
      </c>
      <c r="AD329" s="13" t="s">
        <v>1564</v>
      </c>
      <c r="AE329" s="13" t="s">
        <v>78</v>
      </c>
      <c r="AF329" s="13" t="s">
        <v>1567</v>
      </c>
      <c r="AG329" s="13" t="s">
        <v>91</v>
      </c>
      <c r="AH329" s="13" t="s">
        <v>92</v>
      </c>
      <c r="AI329" s="13" t="s">
        <v>93</v>
      </c>
      <c r="AJ329" s="13">
        <v>1070185</v>
      </c>
      <c r="AK329" s="18"/>
      <c r="AL329" s="18"/>
      <c r="AM329" s="13" t="s">
        <v>1568</v>
      </c>
      <c r="AN329" s="13" t="s">
        <v>95</v>
      </c>
      <c r="AO329" s="13" t="s">
        <v>1564</v>
      </c>
      <c r="AP329" s="13" t="s">
        <v>1564</v>
      </c>
      <c r="AQ329" s="21" t="s">
        <v>64</v>
      </c>
      <c r="AR329" s="26">
        <v>16711</v>
      </c>
      <c r="AS329" s="26">
        <v>46007</v>
      </c>
      <c r="AT329" s="25">
        <v>29301</v>
      </c>
      <c r="AU329" s="25" t="s">
        <v>65</v>
      </c>
      <c r="AV329" s="25" t="s">
        <v>65</v>
      </c>
      <c r="AW329" s="25" t="s">
        <v>65</v>
      </c>
      <c r="AX329" s="24"/>
    </row>
    <row r="330" spans="1:50" ht="16.5" customHeight="1">
      <c r="A330" s="36" t="s">
        <v>1569</v>
      </c>
      <c r="B330" s="28"/>
      <c r="C330" s="28" t="s">
        <v>97</v>
      </c>
      <c r="D330" s="28"/>
      <c r="E330" s="28"/>
      <c r="F330" s="28">
        <v>7194</v>
      </c>
      <c r="G330" s="28"/>
      <c r="H330" s="28" t="str">
        <f>IF(ISNUMBER(Table810[[#This Row],[Total Capacity]]),"USBR Enterprise Asset Registry",IF(Table810[[#This Row],[Total Capacity]]="",""))</f>
        <v/>
      </c>
      <c r="I330" s="28"/>
      <c r="J330" s="28"/>
      <c r="K330" s="28"/>
      <c r="L330" s="50" t="s">
        <v>98</v>
      </c>
      <c r="M330" s="48"/>
      <c r="N330" s="50" t="s">
        <v>98</v>
      </c>
      <c r="O330" s="28"/>
      <c r="P330" s="37"/>
      <c r="Q330" s="28" t="str">
        <f>IF(OR(Table810[[#This Row],[Post-Review Decision]]="Include", Table810[[#This Row],[Post-Review Decision]]="Include if possible", Table810[[#This Row],[Post-Review Decision]]="Include (Omit % Avg if needed)",  Table810[[#This Row],[Post-Review Decision]]="Include (Omit % Avg)"),Table810[[#This Row],[EAR Total Capacity]],"")</f>
        <v/>
      </c>
      <c r="R330" s="28"/>
      <c r="S330" s="45" t="s">
        <v>59</v>
      </c>
      <c r="T330" s="28"/>
      <c r="U330" s="28"/>
      <c r="V330" s="17" t="s">
        <v>61</v>
      </c>
      <c r="W330" s="12" t="b">
        <f>ISNUMBER(Table810[[#This Row],[EAR Total Capacity]])</f>
        <v>0</v>
      </c>
      <c r="X330" s="12" t="b">
        <f>IF(Table810[[#This Row],[Has  Storage for Full Averaging Period?]]="OK",TRUE,FALSE)</f>
        <v>0</v>
      </c>
      <c r="Y330" s="12" t="b">
        <f>IFERROR(IF(YEAR(Table810[[#This Row],[RISE Storage End Date]])=2025,TRUE,FALSE),FALSE)</f>
        <v>0</v>
      </c>
      <c r="Z330" s="11" t="b">
        <v>0</v>
      </c>
      <c r="AA330" s="16" t="s">
        <v>61</v>
      </c>
      <c r="AB330" s="17" t="s">
        <v>61</v>
      </c>
      <c r="AC330" s="17" t="s">
        <v>61</v>
      </c>
      <c r="AD330" s="17" t="s">
        <v>61</v>
      </c>
      <c r="AE330" s="17" t="s">
        <v>61</v>
      </c>
      <c r="AF330" s="17" t="s">
        <v>61</v>
      </c>
      <c r="AG330" s="17" t="s">
        <v>61</v>
      </c>
      <c r="AH330" s="17" t="s">
        <v>61</v>
      </c>
      <c r="AI330" s="17" t="s">
        <v>61</v>
      </c>
      <c r="AJ330" s="17" t="s">
        <v>61</v>
      </c>
      <c r="AK330" s="18"/>
      <c r="AL330" s="18"/>
      <c r="AM330" s="13" t="s">
        <v>1570</v>
      </c>
      <c r="AN330" s="11" t="s">
        <v>84</v>
      </c>
      <c r="AO330" s="11" t="s">
        <v>1569</v>
      </c>
      <c r="AP330" s="11" t="s">
        <v>1571</v>
      </c>
      <c r="AQ330" s="21" t="s">
        <v>64</v>
      </c>
      <c r="AR330" s="25"/>
      <c r="AS330" s="25"/>
      <c r="AT330" s="25"/>
      <c r="AU330" s="25"/>
      <c r="AV330" s="25"/>
      <c r="AW330" s="25"/>
      <c r="AX330" s="23"/>
    </row>
    <row r="331" spans="1:50" ht="16.5" customHeight="1">
      <c r="A331" s="36" t="s">
        <v>1572</v>
      </c>
      <c r="B331" s="28"/>
      <c r="C331" s="28" t="s">
        <v>97</v>
      </c>
      <c r="D331" s="28"/>
      <c r="E331" s="28"/>
      <c r="F331" s="28" t="s">
        <v>61</v>
      </c>
      <c r="G331" s="28"/>
      <c r="H331" s="28" t="str">
        <f>IF(ISNUMBER(Table810[[#This Row],[Total Capacity]]),"USBR Enterprise Asset Registry",IF(Table810[[#This Row],[Total Capacity]]="",""))</f>
        <v/>
      </c>
      <c r="I331" s="28"/>
      <c r="J331" s="28"/>
      <c r="K331" s="28"/>
      <c r="L331" s="50" t="s">
        <v>98</v>
      </c>
      <c r="M331" s="48"/>
      <c r="N331" s="50" t="s">
        <v>98</v>
      </c>
      <c r="O331" s="28"/>
      <c r="P331" s="37"/>
      <c r="Q331" s="28" t="str">
        <f>IF(OR(Table810[[#This Row],[Post-Review Decision]]="Include", Table810[[#This Row],[Post-Review Decision]]="Include if possible", Table810[[#This Row],[Post-Review Decision]]="Include (Omit % Avg if needed)",  Table810[[#This Row],[Post-Review Decision]]="Include (Omit % Avg)"),Table810[[#This Row],[EAR Total Capacity]],"")</f>
        <v/>
      </c>
      <c r="R331" s="28"/>
      <c r="S331" s="45">
        <v>0</v>
      </c>
      <c r="T331" s="28"/>
      <c r="U331" s="28"/>
      <c r="V331" s="13" t="s">
        <v>393</v>
      </c>
      <c r="W331" s="12" t="b">
        <f>ISNUMBER(Table810[[#This Row],[EAR Total Capacity]])</f>
        <v>1</v>
      </c>
      <c r="X331" s="12" t="b">
        <f>IF(Table810[[#This Row],[Has  Storage for Full Averaging Period?]]="OK",TRUE,FALSE)</f>
        <v>0</v>
      </c>
      <c r="Y331" s="12" t="b">
        <f>IFERROR(IF(YEAR(Table810[[#This Row],[RISE Storage End Date]])=2025,TRUE,FALSE),FALSE)</f>
        <v>0</v>
      </c>
      <c r="Z331" s="11" t="b">
        <v>0</v>
      </c>
      <c r="AA331" s="13">
        <v>323</v>
      </c>
      <c r="AB331" s="13" t="s">
        <v>76</v>
      </c>
      <c r="AC331" s="13" t="s">
        <v>1573</v>
      </c>
      <c r="AD331" s="13" t="s">
        <v>1572</v>
      </c>
      <c r="AE331" s="13" t="s">
        <v>78</v>
      </c>
      <c r="AF331" s="13" t="s">
        <v>1574</v>
      </c>
      <c r="AG331" s="13" t="s">
        <v>91</v>
      </c>
      <c r="AH331" s="13" t="s">
        <v>102</v>
      </c>
      <c r="AI331" s="13" t="s">
        <v>103</v>
      </c>
      <c r="AJ331" s="13">
        <v>100</v>
      </c>
      <c r="AK331" s="15"/>
      <c r="AL331" s="15"/>
      <c r="AM331" s="15" t="s">
        <v>61</v>
      </c>
      <c r="AN331" s="15" t="s">
        <v>61</v>
      </c>
      <c r="AO331" s="15" t="s">
        <v>61</v>
      </c>
      <c r="AP331" s="15" t="s">
        <v>61</v>
      </c>
      <c r="AQ331" s="21" t="s">
        <v>136</v>
      </c>
      <c r="AR331" s="25"/>
      <c r="AS331" s="25"/>
      <c r="AT331" s="25"/>
      <c r="AU331" s="25"/>
      <c r="AV331" s="25"/>
      <c r="AW331" s="25"/>
      <c r="AX331" s="24"/>
    </row>
    <row r="332" spans="1:50" ht="16.5" customHeight="1">
      <c r="A332" s="36" t="s">
        <v>1575</v>
      </c>
      <c r="B332" s="28"/>
      <c r="C332" s="28" t="s">
        <v>97</v>
      </c>
      <c r="D332" s="28"/>
      <c r="E332" s="28"/>
      <c r="F332" s="28" t="s">
        <v>61</v>
      </c>
      <c r="G332" s="28"/>
      <c r="H332" s="28" t="str">
        <f>IF(ISNUMBER(Table810[[#This Row],[Total Capacity]]),"USBR Enterprise Asset Registry",IF(Table810[[#This Row],[Total Capacity]]="",""))</f>
        <v/>
      </c>
      <c r="I332" s="28"/>
      <c r="J332" s="28"/>
      <c r="K332" s="28"/>
      <c r="L332" s="50" t="s">
        <v>98</v>
      </c>
      <c r="M332" s="48"/>
      <c r="N332" s="50" t="s">
        <v>98</v>
      </c>
      <c r="O332" s="28"/>
      <c r="P332" s="37"/>
      <c r="Q332" s="28" t="str">
        <f>IF(OR(Table810[[#This Row],[Post-Review Decision]]="Include", Table810[[#This Row],[Post-Review Decision]]="Include if possible", Table810[[#This Row],[Post-Review Decision]]="Include (Omit % Avg if needed)",  Table810[[#This Row],[Post-Review Decision]]="Include (Omit % Avg)"),Table810[[#This Row],[EAR Total Capacity]],"")</f>
        <v/>
      </c>
      <c r="R332" s="28"/>
      <c r="S332" s="45">
        <v>0</v>
      </c>
      <c r="T332" s="28"/>
      <c r="U332" s="28"/>
      <c r="V332" s="13" t="s">
        <v>393</v>
      </c>
      <c r="W332" s="12" t="b">
        <f>ISNUMBER(Table810[[#This Row],[EAR Total Capacity]])</f>
        <v>1</v>
      </c>
      <c r="X332" s="12" t="b">
        <f>IF(Table810[[#This Row],[Has  Storage for Full Averaging Period?]]="OK",TRUE,FALSE)</f>
        <v>0</v>
      </c>
      <c r="Y332" s="12" t="b">
        <f>IFERROR(IF(YEAR(Table810[[#This Row],[RISE Storage End Date]])=2025,TRUE,FALSE),FALSE)</f>
        <v>0</v>
      </c>
      <c r="Z332" s="11" t="b">
        <v>0</v>
      </c>
      <c r="AA332" s="13">
        <v>324</v>
      </c>
      <c r="AB332" s="13" t="s">
        <v>76</v>
      </c>
      <c r="AC332" s="13" t="s">
        <v>1576</v>
      </c>
      <c r="AD332" s="13" t="s">
        <v>1575</v>
      </c>
      <c r="AE332" s="13" t="s">
        <v>78</v>
      </c>
      <c r="AF332" s="13" t="s">
        <v>1577</v>
      </c>
      <c r="AG332" s="13" t="s">
        <v>91</v>
      </c>
      <c r="AH332" s="13" t="s">
        <v>102</v>
      </c>
      <c r="AI332" s="13" t="s">
        <v>103</v>
      </c>
      <c r="AJ332" s="13">
        <v>500</v>
      </c>
      <c r="AK332" s="15"/>
      <c r="AL332" s="15"/>
      <c r="AM332" s="15" t="s">
        <v>61</v>
      </c>
      <c r="AN332" s="15" t="s">
        <v>61</v>
      </c>
      <c r="AO332" s="15" t="s">
        <v>61</v>
      </c>
      <c r="AP332" s="15" t="s">
        <v>61</v>
      </c>
      <c r="AQ332" s="21" t="s">
        <v>136</v>
      </c>
      <c r="AR332" s="25"/>
      <c r="AS332" s="25"/>
      <c r="AT332" s="25"/>
      <c r="AU332" s="25"/>
      <c r="AV332" s="25"/>
      <c r="AW332" s="25"/>
      <c r="AX332" s="24"/>
    </row>
    <row r="333" spans="1:50" ht="16.5" customHeight="1">
      <c r="A333" s="36" t="s">
        <v>1578</v>
      </c>
      <c r="B333" s="28"/>
      <c r="C333" s="28" t="s">
        <v>97</v>
      </c>
      <c r="D333" s="28"/>
      <c r="E333" s="28"/>
      <c r="F333" s="28" t="s">
        <v>61</v>
      </c>
      <c r="G333" s="28"/>
      <c r="H333" s="28" t="str">
        <f>IF(ISNUMBER(Table810[[#This Row],[Total Capacity]]),"USBR Enterprise Asset Registry",IF(Table810[[#This Row],[Total Capacity]]="",""))</f>
        <v/>
      </c>
      <c r="I333" s="28"/>
      <c r="J333" s="28"/>
      <c r="K333" s="28"/>
      <c r="L333" s="50" t="s">
        <v>98</v>
      </c>
      <c r="M333" s="48"/>
      <c r="N333" s="50" t="s">
        <v>98</v>
      </c>
      <c r="O333" s="28"/>
      <c r="P333" s="37"/>
      <c r="Q333" s="28" t="str">
        <f>IF(OR(Table810[[#This Row],[Post-Review Decision]]="Include", Table810[[#This Row],[Post-Review Decision]]="Include if possible", Table810[[#This Row],[Post-Review Decision]]="Include (Omit % Avg if needed)",  Table810[[#This Row],[Post-Review Decision]]="Include (Omit % Avg)"),Table810[[#This Row],[EAR Total Capacity]],"")</f>
        <v/>
      </c>
      <c r="R333" s="28"/>
      <c r="S333" s="45">
        <v>0</v>
      </c>
      <c r="T333" s="28"/>
      <c r="U333" s="28"/>
      <c r="V333" s="13" t="s">
        <v>74</v>
      </c>
      <c r="W333" s="12" t="b">
        <f>ISNUMBER(Table810[[#This Row],[EAR Total Capacity]])</f>
        <v>0</v>
      </c>
      <c r="X333" s="12" t="b">
        <f>IF(Table810[[#This Row],[Has  Storage for Full Averaging Period?]]="OK",TRUE,FALSE)</f>
        <v>0</v>
      </c>
      <c r="Y333" s="12" t="b">
        <f>IFERROR(IF(YEAR(Table810[[#This Row],[RISE Storage End Date]])=2025,TRUE,FALSE),FALSE)</f>
        <v>0</v>
      </c>
      <c r="Z333" s="11" t="b">
        <v>0</v>
      </c>
      <c r="AA333" s="13">
        <v>325</v>
      </c>
      <c r="AB333" s="13" t="s">
        <v>76</v>
      </c>
      <c r="AC333" s="13" t="s">
        <v>1579</v>
      </c>
      <c r="AD333" s="13" t="s">
        <v>1578</v>
      </c>
      <c r="AE333" s="13" t="s">
        <v>101</v>
      </c>
      <c r="AF333" s="13" t="s">
        <v>1580</v>
      </c>
      <c r="AG333" s="13" t="s">
        <v>80</v>
      </c>
      <c r="AH333" s="13" t="s">
        <v>81</v>
      </c>
      <c r="AI333" s="13" t="s">
        <v>103</v>
      </c>
      <c r="AJ333" s="13"/>
      <c r="AK333" s="15"/>
      <c r="AL333" s="15"/>
      <c r="AM333" s="15" t="s">
        <v>61</v>
      </c>
      <c r="AN333" s="15" t="s">
        <v>61</v>
      </c>
      <c r="AO333" s="15" t="s">
        <v>61</v>
      </c>
      <c r="AP333" s="15" t="s">
        <v>61</v>
      </c>
      <c r="AQ333" s="22"/>
      <c r="AR333" s="25"/>
      <c r="AS333" s="25"/>
      <c r="AT333" s="25"/>
      <c r="AU333" s="25"/>
      <c r="AV333" s="25"/>
      <c r="AW333" s="25"/>
      <c r="AX333" s="24"/>
    </row>
    <row r="334" spans="1:50" ht="16.5" customHeight="1">
      <c r="A334" s="36" t="s">
        <v>1581</v>
      </c>
      <c r="B334" s="28" t="s">
        <v>68</v>
      </c>
      <c r="C334" s="28" t="s">
        <v>86</v>
      </c>
      <c r="D334" s="28"/>
      <c r="E334" s="28" t="s">
        <v>70</v>
      </c>
      <c r="F334" s="28">
        <v>435</v>
      </c>
      <c r="G334" s="28">
        <v>3</v>
      </c>
      <c r="H334" s="28" t="str">
        <f>IF(ISNUMBER(Table810[[#This Row],[Total Capacity]]),"USBR Enterprise Asset Registry",IF(Table810[[#This Row],[Total Capacity]]="",""))</f>
        <v>USBR Enterprise Asset Registry</v>
      </c>
      <c r="I334" s="28" t="s">
        <v>57</v>
      </c>
      <c r="J334" s="28" t="s">
        <v>72</v>
      </c>
      <c r="K334" s="28"/>
      <c r="L334" s="50">
        <v>33721</v>
      </c>
      <c r="M334" s="48"/>
      <c r="N334" s="50">
        <v>33721</v>
      </c>
      <c r="O334" s="28"/>
      <c r="P334" s="37"/>
      <c r="Q334" s="28">
        <f>IF(OR(Table810[[#This Row],[Post-Review Decision]]="Include", Table810[[#This Row],[Post-Review Decision]]="Include if possible", Table810[[#This Row],[Post-Review Decision]]="Include (Omit % Avg if needed)",  Table810[[#This Row],[Post-Review Decision]]="Include (Omit % Avg)"),Table810[[#This Row],[EAR Total Capacity]],"")</f>
        <v>33721</v>
      </c>
      <c r="R334" s="28">
        <v>29918</v>
      </c>
      <c r="S334" s="46">
        <v>31073</v>
      </c>
      <c r="T334" s="28" t="s">
        <v>1581</v>
      </c>
      <c r="U334" s="28" t="s">
        <v>1582</v>
      </c>
      <c r="V334" s="13" t="s">
        <v>370</v>
      </c>
      <c r="W334" s="12" t="b">
        <f>ISNUMBER(Table810[[#This Row],[EAR Total Capacity]])</f>
        <v>1</v>
      </c>
      <c r="X334" s="12" t="b">
        <f>IF(Table810[[#This Row],[Has  Storage for Full Averaging Period?]]="OK",TRUE,FALSE)</f>
        <v>1</v>
      </c>
      <c r="Y334" s="12" t="b">
        <f>IFERROR(IF(YEAR(Table810[[#This Row],[RISE Storage End Date]])=2025,TRUE,FALSE),FALSE)</f>
        <v>1</v>
      </c>
      <c r="Z334" s="11" t="b">
        <v>0</v>
      </c>
      <c r="AA334" s="13">
        <v>326</v>
      </c>
      <c r="AB334" s="13" t="s">
        <v>76</v>
      </c>
      <c r="AC334" s="13" t="s">
        <v>1583</v>
      </c>
      <c r="AD334" s="13" t="s">
        <v>1581</v>
      </c>
      <c r="AE334" s="13" t="s">
        <v>78</v>
      </c>
      <c r="AF334" s="13" t="s">
        <v>1584</v>
      </c>
      <c r="AG334" s="13" t="s">
        <v>91</v>
      </c>
      <c r="AH334" s="13" t="s">
        <v>92</v>
      </c>
      <c r="AI334" s="13" t="s">
        <v>82</v>
      </c>
      <c r="AJ334" s="13">
        <v>33721</v>
      </c>
      <c r="AK334" s="18"/>
      <c r="AL334" s="18"/>
      <c r="AM334" s="13" t="s">
        <v>1585</v>
      </c>
      <c r="AN334" s="13" t="s">
        <v>95</v>
      </c>
      <c r="AO334" s="13" t="s">
        <v>1581</v>
      </c>
      <c r="AP334" s="13" t="s">
        <v>1581</v>
      </c>
      <c r="AQ334" s="21" t="s">
        <v>64</v>
      </c>
      <c r="AR334" s="26">
        <v>18202</v>
      </c>
      <c r="AS334" s="26">
        <v>46007</v>
      </c>
      <c r="AT334" s="25">
        <v>21119</v>
      </c>
      <c r="AU334" s="25" t="s">
        <v>65</v>
      </c>
      <c r="AV334" s="25" t="s">
        <v>65</v>
      </c>
      <c r="AW334" s="25" t="s">
        <v>65</v>
      </c>
      <c r="AX334" s="24"/>
    </row>
    <row r="335" spans="1:50" ht="16.5" customHeight="1">
      <c r="A335" s="36" t="s">
        <v>1586</v>
      </c>
      <c r="B335" s="28" t="s">
        <v>68</v>
      </c>
      <c r="C335" s="28" t="s">
        <v>86</v>
      </c>
      <c r="D335" s="28"/>
      <c r="E335" s="28" t="s">
        <v>70</v>
      </c>
      <c r="F335" s="28">
        <v>437</v>
      </c>
      <c r="G335" s="28">
        <v>3</v>
      </c>
      <c r="H335" s="28" t="str">
        <f>IF(ISNUMBER(Table810[[#This Row],[Total Capacity]]),"USBR Enterprise Asset Registry",IF(Table810[[#This Row],[Total Capacity]]="",""))</f>
        <v>USBR Enterprise Asset Registry</v>
      </c>
      <c r="I335" s="28" t="s">
        <v>257</v>
      </c>
      <c r="J335" s="28" t="s">
        <v>72</v>
      </c>
      <c r="K335" s="28"/>
      <c r="L335" s="50">
        <v>110149</v>
      </c>
      <c r="M335" s="48"/>
      <c r="N335" s="50">
        <v>110149</v>
      </c>
      <c r="O335" s="28"/>
      <c r="P335" s="37"/>
      <c r="Q335" s="28">
        <f>IF(OR(Table810[[#This Row],[Post-Review Decision]]="Include", Table810[[#This Row],[Post-Review Decision]]="Include if possible", Table810[[#This Row],[Post-Review Decision]]="Include (Omit % Avg if needed)",  Table810[[#This Row],[Post-Review Decision]]="Include (Omit % Avg)"),Table810[[#This Row],[EAR Total Capacity]],"")</f>
        <v>110150</v>
      </c>
      <c r="R335" s="28">
        <v>110149</v>
      </c>
      <c r="S335" s="46">
        <v>110149</v>
      </c>
      <c r="T335" s="28" t="s">
        <v>1586</v>
      </c>
      <c r="U335" s="28" t="s">
        <v>1587</v>
      </c>
      <c r="V335" s="13" t="s">
        <v>465</v>
      </c>
      <c r="W335" s="12" t="b">
        <f>ISNUMBER(Table810[[#This Row],[EAR Total Capacity]])</f>
        <v>1</v>
      </c>
      <c r="X335" s="12" t="b">
        <f>IF(Table810[[#This Row],[Has  Storage for Full Averaging Period?]]="OK",TRUE,FALSE)</f>
        <v>1</v>
      </c>
      <c r="Y335" s="12" t="b">
        <f>IFERROR(IF(YEAR(Table810[[#This Row],[RISE Storage End Date]])=2025,TRUE,FALSE),FALSE)</f>
        <v>1</v>
      </c>
      <c r="Z335" s="11" t="b">
        <v>0</v>
      </c>
      <c r="AA335" s="13">
        <v>327</v>
      </c>
      <c r="AB335" s="13" t="s">
        <v>76</v>
      </c>
      <c r="AC335" s="13" t="s">
        <v>1588</v>
      </c>
      <c r="AD335" s="13" t="s">
        <v>1586</v>
      </c>
      <c r="AE335" s="13" t="s">
        <v>78</v>
      </c>
      <c r="AF335" s="13" t="s">
        <v>1589</v>
      </c>
      <c r="AG335" s="13" t="s">
        <v>91</v>
      </c>
      <c r="AH335" s="13" t="s">
        <v>102</v>
      </c>
      <c r="AI335" s="13" t="s">
        <v>93</v>
      </c>
      <c r="AJ335" s="13">
        <v>110150</v>
      </c>
      <c r="AK335" s="18"/>
      <c r="AL335" s="18"/>
      <c r="AM335" s="13" t="s">
        <v>1590</v>
      </c>
      <c r="AN335" s="13" t="s">
        <v>63</v>
      </c>
      <c r="AO335" s="13" t="s">
        <v>1586</v>
      </c>
      <c r="AP335" s="13" t="s">
        <v>1586</v>
      </c>
      <c r="AQ335" s="21" t="s">
        <v>64</v>
      </c>
      <c r="AR335" s="26">
        <v>28460</v>
      </c>
      <c r="AS335" s="26">
        <v>46007</v>
      </c>
      <c r="AT335" s="25">
        <v>17549</v>
      </c>
      <c r="AU335" s="25" t="s">
        <v>65</v>
      </c>
      <c r="AV335" s="25" t="s">
        <v>65</v>
      </c>
      <c r="AW335" s="25" t="s">
        <v>65</v>
      </c>
      <c r="AX335" s="24"/>
    </row>
    <row r="336" spans="1:50" ht="16.5" customHeight="1">
      <c r="A336" s="36" t="s">
        <v>1591</v>
      </c>
      <c r="B336" s="28" t="s">
        <v>68</v>
      </c>
      <c r="C336" s="28" t="s">
        <v>86</v>
      </c>
      <c r="D336" s="28"/>
      <c r="E336" s="28" t="s">
        <v>70</v>
      </c>
      <c r="F336" s="28">
        <v>438</v>
      </c>
      <c r="G336" s="28">
        <v>3</v>
      </c>
      <c r="H336" s="28" t="str">
        <f>IF(ISNUMBER(Table810[[#This Row],[Total Capacity]]),"USBR Enterprise Asset Registry",IF(Table810[[#This Row],[Total Capacity]]="",""))</f>
        <v>USBR Enterprise Asset Registry</v>
      </c>
      <c r="I336" s="28" t="s">
        <v>57</v>
      </c>
      <c r="J336" s="28" t="s">
        <v>72</v>
      </c>
      <c r="K336" s="28"/>
      <c r="L336" s="50">
        <v>2104</v>
      </c>
      <c r="M336" s="48"/>
      <c r="N336" s="50">
        <v>2104</v>
      </c>
      <c r="O336" s="28"/>
      <c r="P336" s="37"/>
      <c r="Q336" s="28">
        <f>IF(OR(Table810[[#This Row],[Post-Review Decision]]="Include", Table810[[#This Row],[Post-Review Decision]]="Include if possible", Table810[[#This Row],[Post-Review Decision]]="Include (Omit % Avg if needed)",  Table810[[#This Row],[Post-Review Decision]]="Include (Omit % Avg)"),Table810[[#This Row],[EAR Total Capacity]],"")</f>
        <v>2104</v>
      </c>
      <c r="R336" s="28">
        <v>1561</v>
      </c>
      <c r="S336" s="46">
        <v>1754</v>
      </c>
      <c r="T336" s="28" t="s">
        <v>1592</v>
      </c>
      <c r="U336" s="28" t="s">
        <v>1593</v>
      </c>
      <c r="V336" s="13" t="s">
        <v>264</v>
      </c>
      <c r="W336" s="12" t="b">
        <f>ISNUMBER(Table810[[#This Row],[EAR Total Capacity]])</f>
        <v>1</v>
      </c>
      <c r="X336" s="12" t="b">
        <f>IF(Table810[[#This Row],[Has  Storage for Full Averaging Period?]]="OK",TRUE,FALSE)</f>
        <v>1</v>
      </c>
      <c r="Y336" s="12" t="b">
        <f>IFERROR(IF(YEAR(Table810[[#This Row],[RISE Storage End Date]])=2025,TRUE,FALSE),FALSE)</f>
        <v>1</v>
      </c>
      <c r="Z336" s="11" t="b">
        <v>0</v>
      </c>
      <c r="AA336" s="13">
        <v>328</v>
      </c>
      <c r="AB336" s="13" t="s">
        <v>76</v>
      </c>
      <c r="AC336" s="13" t="s">
        <v>1594</v>
      </c>
      <c r="AD336" s="13" t="s">
        <v>1591</v>
      </c>
      <c r="AE336" s="13" t="s">
        <v>78</v>
      </c>
      <c r="AF336" s="13" t="s">
        <v>1595</v>
      </c>
      <c r="AG336" s="13" t="s">
        <v>91</v>
      </c>
      <c r="AH336" s="13" t="s">
        <v>92</v>
      </c>
      <c r="AI336" s="13" t="s">
        <v>110</v>
      </c>
      <c r="AJ336" s="13">
        <v>2104</v>
      </c>
      <c r="AK336" s="18"/>
      <c r="AL336" s="18"/>
      <c r="AM336" s="13" t="s">
        <v>1596</v>
      </c>
      <c r="AN336" s="13" t="s">
        <v>95</v>
      </c>
      <c r="AO336" s="13" t="s">
        <v>1591</v>
      </c>
      <c r="AP336" s="13" t="s">
        <v>1597</v>
      </c>
      <c r="AQ336" s="21" t="s">
        <v>64</v>
      </c>
      <c r="AR336" s="26">
        <v>31533</v>
      </c>
      <c r="AS336" s="26">
        <v>46007</v>
      </c>
      <c r="AT336" s="25">
        <v>11619</v>
      </c>
      <c r="AU336" s="25" t="s">
        <v>65</v>
      </c>
      <c r="AV336" s="25" t="s">
        <v>65</v>
      </c>
      <c r="AW336" s="25" t="s">
        <v>65</v>
      </c>
      <c r="AX336" s="24"/>
    </row>
    <row r="337" spans="1:50" ht="16.5" customHeight="1">
      <c r="A337" s="36" t="s">
        <v>1598</v>
      </c>
      <c r="B337" s="28" t="s">
        <v>68</v>
      </c>
      <c r="C337" s="28" t="s">
        <v>86</v>
      </c>
      <c r="D337" s="28"/>
      <c r="E337" s="28" t="s">
        <v>70</v>
      </c>
      <c r="F337" s="28">
        <v>443</v>
      </c>
      <c r="G337" s="28">
        <v>3</v>
      </c>
      <c r="H337" s="28" t="str">
        <f>IF(ISNUMBER(Table810[[#This Row],[Total Capacity]]),"USBR Enterprise Asset Registry",IF(Table810[[#This Row],[Total Capacity]]="",""))</f>
        <v>USBR Enterprise Asset Registry</v>
      </c>
      <c r="I337" s="28" t="s">
        <v>57</v>
      </c>
      <c r="J337" s="28" t="s">
        <v>72</v>
      </c>
      <c r="K337" s="28"/>
      <c r="L337" s="50">
        <v>46694</v>
      </c>
      <c r="M337" s="48"/>
      <c r="N337" s="50">
        <v>46694</v>
      </c>
      <c r="O337" s="28"/>
      <c r="P337" s="37"/>
      <c r="Q337" s="28">
        <f>IF(OR(Table810[[#This Row],[Post-Review Decision]]="Include", Table810[[#This Row],[Post-Review Decision]]="Include if possible", Table810[[#This Row],[Post-Review Decision]]="Include (Omit % Avg if needed)",  Table810[[#This Row],[Post-Review Decision]]="Include (Omit % Avg)"),Table810[[#This Row],[EAR Total Capacity]],"")</f>
        <v>46694</v>
      </c>
      <c r="R337" s="28">
        <v>30686</v>
      </c>
      <c r="S337" s="46">
        <v>30686</v>
      </c>
      <c r="T337" s="28" t="s">
        <v>1599</v>
      </c>
      <c r="U337" s="28" t="s">
        <v>1600</v>
      </c>
      <c r="V337" s="13" t="s">
        <v>648</v>
      </c>
      <c r="W337" s="12" t="b">
        <f>ISNUMBER(Table810[[#This Row],[EAR Total Capacity]])</f>
        <v>1</v>
      </c>
      <c r="X337" s="12" t="b">
        <f>IF(Table810[[#This Row],[Has  Storage for Full Averaging Period?]]="OK",TRUE,FALSE)</f>
        <v>1</v>
      </c>
      <c r="Y337" s="12" t="b">
        <f>IFERROR(IF(YEAR(Table810[[#This Row],[RISE Storage End Date]])=2025,TRUE,FALSE),FALSE)</f>
        <v>1</v>
      </c>
      <c r="Z337" s="11" t="b">
        <v>0</v>
      </c>
      <c r="AA337" s="13">
        <v>330</v>
      </c>
      <c r="AB337" s="13" t="s">
        <v>76</v>
      </c>
      <c r="AC337" s="13" t="s">
        <v>1601</v>
      </c>
      <c r="AD337" s="13" t="s">
        <v>1598</v>
      </c>
      <c r="AE337" s="13" t="s">
        <v>78</v>
      </c>
      <c r="AF337" s="13" t="s">
        <v>1602</v>
      </c>
      <c r="AG337" s="13" t="s">
        <v>109</v>
      </c>
      <c r="AH337" s="13" t="s">
        <v>92</v>
      </c>
      <c r="AI337" s="13" t="s">
        <v>82</v>
      </c>
      <c r="AJ337" s="13">
        <v>46694</v>
      </c>
      <c r="AK337" s="18"/>
      <c r="AL337" s="18"/>
      <c r="AM337" s="13" t="s">
        <v>1603</v>
      </c>
      <c r="AN337" s="13" t="s">
        <v>95</v>
      </c>
      <c r="AO337" s="13" t="s">
        <v>1598</v>
      </c>
      <c r="AP337" s="13" t="e">
        <v>#N/A</v>
      </c>
      <c r="AQ337" s="21" t="s">
        <v>64</v>
      </c>
      <c r="AR337" s="26">
        <v>32812</v>
      </c>
      <c r="AS337" s="26">
        <v>46007</v>
      </c>
      <c r="AT337" s="25">
        <v>12213</v>
      </c>
      <c r="AU337" s="25" t="s">
        <v>65</v>
      </c>
      <c r="AV337" s="25" t="s">
        <v>65</v>
      </c>
      <c r="AW337" s="25" t="s">
        <v>65</v>
      </c>
      <c r="AX337" s="24"/>
    </row>
    <row r="338" spans="1:50" ht="16.5" customHeight="1">
      <c r="A338" s="36" t="s">
        <v>1604</v>
      </c>
      <c r="B338" s="28" t="s">
        <v>68</v>
      </c>
      <c r="C338" s="28" t="s">
        <v>321</v>
      </c>
      <c r="D338" s="28"/>
      <c r="E338" s="28" t="s">
        <v>70</v>
      </c>
      <c r="F338" s="57">
        <v>3512</v>
      </c>
      <c r="G338" s="28">
        <v>3</v>
      </c>
      <c r="H338" s="28" t="str">
        <f>IF(ISNUMBER(Table810[[#This Row],[Total Capacity]]),"USBR Enterprise Asset Registry",IF(Table810[[#This Row],[Total Capacity]]="",""))</f>
        <v>USBR Enterprise Asset Registry</v>
      </c>
      <c r="I338" s="28" t="s">
        <v>57</v>
      </c>
      <c r="J338" s="28" t="s">
        <v>127</v>
      </c>
      <c r="K338" s="28">
        <v>6001</v>
      </c>
      <c r="L338" s="50">
        <v>53570</v>
      </c>
      <c r="M338" s="48"/>
      <c r="N338" s="50">
        <v>53570</v>
      </c>
      <c r="O338" s="28"/>
      <c r="P338" s="37"/>
      <c r="Q338" s="28">
        <f>IF(OR(Table810[[#This Row],[Post-Review Decision]]="Include", Table810[[#This Row],[Post-Review Decision]]="Include if possible", Table810[[#This Row],[Post-Review Decision]]="Include (Omit % Avg if needed)",  Table810[[#This Row],[Post-Review Decision]]="Include (Omit % Avg)"),Table810[[#This Row],[EAR Total Capacity]],"")</f>
        <v>59571</v>
      </c>
      <c r="R338" s="28">
        <v>59571</v>
      </c>
      <c r="S338" s="46">
        <v>59571</v>
      </c>
      <c r="T338" s="28" t="s">
        <v>1604</v>
      </c>
      <c r="U338" s="28" t="s">
        <v>1605</v>
      </c>
      <c r="V338" s="13" t="s">
        <v>1606</v>
      </c>
      <c r="W338" s="12" t="b">
        <f>ISNUMBER(Table810[[#This Row],[EAR Total Capacity]])</f>
        <v>1</v>
      </c>
      <c r="X338" s="12" t="b">
        <f>IF(Table810[[#This Row],[Has  Storage for Full Averaging Period?]]="OK",TRUE,FALSE)</f>
        <v>0</v>
      </c>
      <c r="Y338" s="12" t="b">
        <f>IFERROR(IF(YEAR(Table810[[#This Row],[RISE Storage End Date]])=2025,TRUE,FALSE),FALSE)</f>
        <v>1</v>
      </c>
      <c r="Z338" s="11" t="b">
        <v>0</v>
      </c>
      <c r="AA338" s="13">
        <v>331</v>
      </c>
      <c r="AB338" s="13" t="s">
        <v>76</v>
      </c>
      <c r="AC338" s="13" t="s">
        <v>1607</v>
      </c>
      <c r="AD338" s="13" t="s">
        <v>1604</v>
      </c>
      <c r="AE338" s="13" t="s">
        <v>78</v>
      </c>
      <c r="AF338" s="13" t="s">
        <v>1608</v>
      </c>
      <c r="AG338" s="13" t="s">
        <v>91</v>
      </c>
      <c r="AH338" s="13" t="s">
        <v>102</v>
      </c>
      <c r="AI338" s="13" t="s">
        <v>93</v>
      </c>
      <c r="AJ338" s="13">
        <v>59571</v>
      </c>
      <c r="AK338" s="18"/>
      <c r="AL338" s="18"/>
      <c r="AM338" s="13" t="s">
        <v>1609</v>
      </c>
      <c r="AN338" s="13" t="s">
        <v>63</v>
      </c>
      <c r="AO338" s="13" t="s">
        <v>1604</v>
      </c>
      <c r="AP338" s="13" t="s">
        <v>1604</v>
      </c>
      <c r="AQ338" s="21" t="s">
        <v>64</v>
      </c>
      <c r="AR338" s="26">
        <v>42441</v>
      </c>
      <c r="AS338" s="26">
        <v>46007</v>
      </c>
      <c r="AT338" s="25">
        <v>3568</v>
      </c>
      <c r="AU338" s="25" t="s">
        <v>66</v>
      </c>
      <c r="AV338" s="25" t="s">
        <v>65</v>
      </c>
      <c r="AW338" s="25" t="s">
        <v>66</v>
      </c>
      <c r="AX338" s="24"/>
    </row>
    <row r="339" spans="1:50" ht="16.5" customHeight="1">
      <c r="A339" s="36" t="s">
        <v>1610</v>
      </c>
      <c r="B339" s="32"/>
      <c r="C339" s="32" t="s">
        <v>97</v>
      </c>
      <c r="D339" s="32"/>
      <c r="E339" s="32"/>
      <c r="F339" s="32" t="s">
        <v>61</v>
      </c>
      <c r="G339" s="32"/>
      <c r="H339" s="32" t="str">
        <f>IF(ISNUMBER(Table810[[#This Row],[Total Capacity]]),"USBR Enterprise Asset Registry",IF(Table810[[#This Row],[Total Capacity]]="",""))</f>
        <v/>
      </c>
      <c r="I339" s="32"/>
      <c r="J339" s="32"/>
      <c r="K339" s="32"/>
      <c r="L339" s="53" t="s">
        <v>98</v>
      </c>
      <c r="M339" s="48"/>
      <c r="N339" s="50" t="s">
        <v>98</v>
      </c>
      <c r="O339" s="32"/>
      <c r="P339" s="41"/>
      <c r="Q339" s="32" t="str">
        <f>IF(OR(Table810[[#This Row],[Post-Review Decision]]="Include", Table810[[#This Row],[Post-Review Decision]]="Include if possible", Table810[[#This Row],[Post-Review Decision]]="Include (Omit % Avg if needed)",  Table810[[#This Row],[Post-Review Decision]]="Include (Omit % Avg)"),Table810[[#This Row],[EAR Total Capacity]],"")</f>
        <v/>
      </c>
      <c r="R339" s="32">
        <v>811784</v>
      </c>
      <c r="S339" s="46">
        <v>811784</v>
      </c>
      <c r="T339" s="32"/>
      <c r="U339" s="32"/>
      <c r="V339" s="13" t="s">
        <v>1611</v>
      </c>
      <c r="W339" s="12" t="b">
        <f>ISNUMBER(Table810[[#This Row],[EAR Total Capacity]])</f>
        <v>1</v>
      </c>
      <c r="X339" s="12" t="b">
        <f>IF(Table810[[#This Row],[Has  Storage for Full Averaging Period?]]="OK",TRUE,FALSE)</f>
        <v>0</v>
      </c>
      <c r="Y339" s="12" t="b">
        <f>IFERROR(IF(YEAR(Table810[[#This Row],[RISE Storage End Date]])=2025,TRUE,FALSE),FALSE)</f>
        <v>0</v>
      </c>
      <c r="Z339" s="11" t="b">
        <v>0</v>
      </c>
      <c r="AA339" s="13">
        <v>228</v>
      </c>
      <c r="AB339" s="13" t="s">
        <v>76</v>
      </c>
      <c r="AC339" s="13" t="s">
        <v>1612</v>
      </c>
      <c r="AD339" s="13" t="s">
        <v>1610</v>
      </c>
      <c r="AE339" s="13" t="s">
        <v>78</v>
      </c>
      <c r="AF339" s="13" t="s">
        <v>1613</v>
      </c>
      <c r="AG339" s="13" t="s">
        <v>179</v>
      </c>
      <c r="AH339" s="13" t="s">
        <v>180</v>
      </c>
      <c r="AI339" s="13" t="s">
        <v>82</v>
      </c>
      <c r="AJ339" s="14">
        <v>811784</v>
      </c>
      <c r="AK339" s="15"/>
      <c r="AL339" s="15"/>
      <c r="AM339" s="15" t="s">
        <v>61</v>
      </c>
      <c r="AN339" s="15" t="s">
        <v>61</v>
      </c>
      <c r="AO339" s="15" t="s">
        <v>61</v>
      </c>
      <c r="AP339" s="15" t="s">
        <v>61</v>
      </c>
      <c r="AQ339" s="21" t="s">
        <v>136</v>
      </c>
      <c r="AR339" s="25"/>
      <c r="AS339" s="25"/>
      <c r="AT339" s="25"/>
      <c r="AU339" s="25"/>
      <c r="AV339" s="25"/>
      <c r="AW339" s="25"/>
      <c r="AX339" s="24"/>
    </row>
    <row r="340" spans="1:50" ht="16.5" customHeight="1">
      <c r="A340" s="36" t="s">
        <v>1614</v>
      </c>
      <c r="B340" s="32"/>
      <c r="C340" s="32" t="s">
        <v>97</v>
      </c>
      <c r="D340" s="32"/>
      <c r="E340" s="32"/>
      <c r="F340" s="28" t="s">
        <v>61</v>
      </c>
      <c r="G340" s="32"/>
      <c r="H340" s="32" t="str">
        <f>IF(ISNUMBER(Table810[[#This Row],[Total Capacity]]),"USBR Enterprise Asset Registry",IF(Table810[[#This Row],[Total Capacity]]="",""))</f>
        <v/>
      </c>
      <c r="I340" s="32"/>
      <c r="J340" s="32"/>
      <c r="K340" s="32"/>
      <c r="L340" s="53" t="s">
        <v>98</v>
      </c>
      <c r="M340" s="48"/>
      <c r="N340" s="50" t="s">
        <v>98</v>
      </c>
      <c r="O340" s="32"/>
      <c r="P340" s="41"/>
      <c r="Q340" s="32" t="str">
        <f>IF(OR(Table810[[#This Row],[Post-Review Decision]]="Include", Table810[[#This Row],[Post-Review Decision]]="Include if possible", Table810[[#This Row],[Post-Review Decision]]="Include (Omit % Avg if needed)",  Table810[[#This Row],[Post-Review Decision]]="Include (Omit % Avg)"),Table810[[#This Row],[EAR Total Capacity]],"")</f>
        <v/>
      </c>
      <c r="R340" s="32"/>
      <c r="S340" s="45">
        <v>0</v>
      </c>
      <c r="T340" s="32"/>
      <c r="U340" s="32"/>
      <c r="V340" s="13" t="s">
        <v>264</v>
      </c>
      <c r="W340" s="12" t="b">
        <f>ISNUMBER(Table810[[#This Row],[EAR Total Capacity]])</f>
        <v>0</v>
      </c>
      <c r="X340" s="12" t="b">
        <f>IF(Table810[[#This Row],[Has  Storage for Full Averaging Period?]]="OK",TRUE,FALSE)</f>
        <v>0</v>
      </c>
      <c r="Y340" s="12" t="b">
        <f>IFERROR(IF(YEAR(Table810[[#This Row],[RISE Storage End Date]])=2025,TRUE,FALSE),FALSE)</f>
        <v>0</v>
      </c>
      <c r="Z340" s="11" t="b">
        <v>0</v>
      </c>
      <c r="AA340" s="13">
        <v>332</v>
      </c>
      <c r="AB340" s="13" t="s">
        <v>76</v>
      </c>
      <c r="AC340" s="13" t="s">
        <v>1615</v>
      </c>
      <c r="AD340" s="13" t="s">
        <v>1614</v>
      </c>
      <c r="AE340" s="13" t="s">
        <v>101</v>
      </c>
      <c r="AF340" s="13" t="s">
        <v>1616</v>
      </c>
      <c r="AG340" s="13" t="s">
        <v>91</v>
      </c>
      <c r="AH340" s="13" t="s">
        <v>92</v>
      </c>
      <c r="AI340" s="13" t="s">
        <v>110</v>
      </c>
      <c r="AJ340" s="13"/>
      <c r="AK340" s="15"/>
      <c r="AL340" s="15"/>
      <c r="AM340" s="15" t="s">
        <v>61</v>
      </c>
      <c r="AN340" s="15" t="s">
        <v>61</v>
      </c>
      <c r="AO340" s="15" t="s">
        <v>61</v>
      </c>
      <c r="AP340" s="15" t="s">
        <v>61</v>
      </c>
      <c r="AQ340" s="22"/>
      <c r="AR340" s="25"/>
      <c r="AS340" s="25"/>
      <c r="AT340" s="25"/>
      <c r="AU340" s="25"/>
      <c r="AV340" s="25"/>
      <c r="AW340" s="25"/>
      <c r="AX340" s="24"/>
    </row>
    <row r="341" spans="1:50" ht="16.5" customHeight="1">
      <c r="A341" s="36" t="s">
        <v>1617</v>
      </c>
      <c r="B341" s="28"/>
      <c r="C341" s="28" t="s">
        <v>97</v>
      </c>
      <c r="D341" s="28"/>
      <c r="E341" s="28"/>
      <c r="F341" s="28" t="s">
        <v>61</v>
      </c>
      <c r="G341" s="28"/>
      <c r="H341" s="28" t="str">
        <f>IF(ISNUMBER(Table810[[#This Row],[Total Capacity]]),"USBR Enterprise Asset Registry",IF(Table810[[#This Row],[Total Capacity]]="",""))</f>
        <v/>
      </c>
      <c r="I341" s="28"/>
      <c r="J341" s="28"/>
      <c r="K341" s="28"/>
      <c r="L341" s="50" t="s">
        <v>98</v>
      </c>
      <c r="M341" s="48"/>
      <c r="N341" s="50" t="s">
        <v>98</v>
      </c>
      <c r="O341" s="28"/>
      <c r="P341" s="37"/>
      <c r="Q341" s="28" t="str">
        <f>IF(OR(Table810[[#This Row],[Post-Review Decision]]="Include", Table810[[#This Row],[Post-Review Decision]]="Include if possible", Table810[[#This Row],[Post-Review Decision]]="Include (Omit % Avg if needed)",  Table810[[#This Row],[Post-Review Decision]]="Include (Omit % Avg)"),Table810[[#This Row],[EAR Total Capacity]],"")</f>
        <v/>
      </c>
      <c r="R341" s="28"/>
      <c r="S341" s="45">
        <v>0</v>
      </c>
      <c r="T341" s="28"/>
      <c r="U341" s="28"/>
      <c r="V341" s="13" t="s">
        <v>264</v>
      </c>
      <c r="W341" s="12" t="b">
        <f>ISNUMBER(Table810[[#This Row],[EAR Total Capacity]])</f>
        <v>0</v>
      </c>
      <c r="X341" s="12" t="b">
        <f>IF(Table810[[#This Row],[Has  Storage for Full Averaging Period?]]="OK",TRUE,FALSE)</f>
        <v>0</v>
      </c>
      <c r="Y341" s="12" t="b">
        <f>IFERROR(IF(YEAR(Table810[[#This Row],[RISE Storage End Date]])=2025,TRUE,FALSE),FALSE)</f>
        <v>0</v>
      </c>
      <c r="Z341" s="11" t="b">
        <v>0</v>
      </c>
      <c r="AA341" s="13">
        <v>333</v>
      </c>
      <c r="AB341" s="13" t="s">
        <v>76</v>
      </c>
      <c r="AC341" s="13" t="s">
        <v>1618</v>
      </c>
      <c r="AD341" s="13" t="s">
        <v>1617</v>
      </c>
      <c r="AE341" s="13" t="s">
        <v>101</v>
      </c>
      <c r="AF341" s="13" t="s">
        <v>1619</v>
      </c>
      <c r="AG341" s="13" t="s">
        <v>91</v>
      </c>
      <c r="AH341" s="13" t="s">
        <v>92</v>
      </c>
      <c r="AI341" s="13" t="s">
        <v>110</v>
      </c>
      <c r="AJ341" s="13"/>
      <c r="AK341" s="15"/>
      <c r="AL341" s="15"/>
      <c r="AM341" s="15" t="s">
        <v>61</v>
      </c>
      <c r="AN341" s="15" t="s">
        <v>61</v>
      </c>
      <c r="AO341" s="15" t="s">
        <v>61</v>
      </c>
      <c r="AP341" s="15" t="s">
        <v>61</v>
      </c>
      <c r="AQ341" s="22"/>
      <c r="AR341" s="25"/>
      <c r="AS341" s="25"/>
      <c r="AT341" s="25"/>
      <c r="AU341" s="25"/>
      <c r="AV341" s="25"/>
      <c r="AW341" s="25"/>
      <c r="AX341" s="24"/>
    </row>
    <row r="342" spans="1:50" ht="16.5" customHeight="1">
      <c r="A342" s="36" t="s">
        <v>1620</v>
      </c>
      <c r="B342" s="28" t="s">
        <v>68</v>
      </c>
      <c r="C342" s="28" t="s">
        <v>69</v>
      </c>
      <c r="D342" s="28"/>
      <c r="E342" s="28" t="s">
        <v>70</v>
      </c>
      <c r="F342" s="28">
        <v>7265</v>
      </c>
      <c r="G342" s="28">
        <v>3</v>
      </c>
      <c r="H342" s="28" t="str">
        <f>IF(ISNUMBER(Table810[[#This Row],[Total Capacity]]),"USBR Enterprise Asset Registry",IF(Table810[[#This Row],[Total Capacity]]="",""))</f>
        <v>USBR Enterprise Asset Registry</v>
      </c>
      <c r="I342" s="28" t="s">
        <v>71</v>
      </c>
      <c r="J342" s="28" t="s">
        <v>72</v>
      </c>
      <c r="K342" s="28"/>
      <c r="L342" s="50">
        <v>332200</v>
      </c>
      <c r="M342" s="48"/>
      <c r="N342" s="50">
        <v>332200</v>
      </c>
      <c r="O342" s="28"/>
      <c r="P342" s="37"/>
      <c r="Q342" s="28">
        <f>IF(OR(Table810[[#This Row],[Post-Review Decision]]="Include", Table810[[#This Row],[Post-Review Decision]]="Include if possible", Table810[[#This Row],[Post-Review Decision]]="Include (Omit % Avg if needed)",  Table810[[#This Row],[Post-Review Decision]]="Include (Omit % Avg)"),Table810[[#This Row],[EAR Total Capacity]],"")</f>
        <v>511700</v>
      </c>
      <c r="R342" s="28">
        <v>332200</v>
      </c>
      <c r="S342" s="46">
        <v>332200</v>
      </c>
      <c r="T342" s="28" t="s">
        <v>1621</v>
      </c>
      <c r="U342" s="28" t="s">
        <v>1622</v>
      </c>
      <c r="V342" s="13" t="s">
        <v>206</v>
      </c>
      <c r="W342" s="12" t="b">
        <f>ISNUMBER(Table810[[#This Row],[EAR Total Capacity]])</f>
        <v>1</v>
      </c>
      <c r="X342" s="12" t="s">
        <v>75</v>
      </c>
      <c r="Y342" s="12" t="b">
        <f>IFERROR(IF(YEAR(Table810[[#This Row],[RISE Storage End Date]])=2025,TRUE,FALSE),FALSE)</f>
        <v>0</v>
      </c>
      <c r="Z342" s="11" t="b">
        <v>0</v>
      </c>
      <c r="AA342" s="13">
        <v>334</v>
      </c>
      <c r="AB342" s="13" t="s">
        <v>76</v>
      </c>
      <c r="AC342" s="13" t="s">
        <v>1623</v>
      </c>
      <c r="AD342" s="13" t="s">
        <v>1620</v>
      </c>
      <c r="AE342" s="13" t="s">
        <v>78</v>
      </c>
      <c r="AF342" s="13" t="s">
        <v>1624</v>
      </c>
      <c r="AG342" s="13" t="s">
        <v>80</v>
      </c>
      <c r="AH342" s="13" t="s">
        <v>81</v>
      </c>
      <c r="AI342" s="13" t="s">
        <v>82</v>
      </c>
      <c r="AJ342" s="19">
        <v>511700</v>
      </c>
      <c r="AK342" s="18"/>
      <c r="AL342" s="18"/>
      <c r="AM342" s="13" t="s">
        <v>1625</v>
      </c>
      <c r="AN342" s="13" t="s">
        <v>84</v>
      </c>
      <c r="AO342" s="13" t="s">
        <v>1620</v>
      </c>
      <c r="AP342" s="13" t="s">
        <v>1626</v>
      </c>
      <c r="AQ342" s="21" t="s">
        <v>64</v>
      </c>
      <c r="AR342" s="25"/>
      <c r="AS342" s="25"/>
      <c r="AT342" s="25"/>
      <c r="AU342" s="25"/>
      <c r="AV342" s="25"/>
      <c r="AW342" s="25"/>
      <c r="AX342" s="24"/>
    </row>
    <row r="343" spans="1:50" ht="16.5" customHeight="1">
      <c r="A343" s="36" t="s">
        <v>1627</v>
      </c>
      <c r="B343" s="28" t="s">
        <v>68</v>
      </c>
      <c r="C343" s="57" t="s">
        <v>86</v>
      </c>
      <c r="D343" s="57"/>
      <c r="E343" s="28" t="s">
        <v>70</v>
      </c>
      <c r="F343" s="57">
        <v>393</v>
      </c>
      <c r="G343" s="28">
        <v>3</v>
      </c>
      <c r="H343" s="57" t="str">
        <f>IF(ISNUMBER(Table810[[#This Row],[Total Capacity]]),"USBR Enterprise Asset Registry",IF(Table810[[#This Row],[Total Capacity]]="",""))</f>
        <v>USBR Enterprise Asset Registry</v>
      </c>
      <c r="I343" s="28" t="s">
        <v>57</v>
      </c>
      <c r="J343" s="57"/>
      <c r="K343" s="57"/>
      <c r="L343" s="58">
        <v>26215000</v>
      </c>
      <c r="M343" s="48"/>
      <c r="N343" s="50">
        <v>26215000</v>
      </c>
      <c r="O343" s="57"/>
      <c r="P343" s="60"/>
      <c r="Q343" s="57">
        <f>IF(OR(Table810[[#This Row],[Post-Review Decision]]="Include", Table810[[#This Row],[Post-Review Decision]]="Include if possible", Table810[[#This Row],[Post-Review Decision]]="Include (Omit % Avg if needed)",  Table810[[#This Row],[Post-Review Decision]]="Include (Omit % Avg)"),Table810[[#This Row],[EAR Total Capacity]],"")</f>
        <v>26215000</v>
      </c>
      <c r="R343" s="57">
        <v>20325000</v>
      </c>
      <c r="S343" s="46">
        <v>24322000</v>
      </c>
      <c r="T343" s="57" t="s">
        <v>1628</v>
      </c>
      <c r="U343" s="57" t="s">
        <v>1629</v>
      </c>
      <c r="V343" s="13" t="s">
        <v>1630</v>
      </c>
      <c r="W343" s="12" t="b">
        <f>ISNUMBER(Table810[[#This Row],[EAR Total Capacity]])</f>
        <v>1</v>
      </c>
      <c r="X343" s="12" t="b">
        <f>IF(Table810[[#This Row],[Has  Storage for Full Averaging Period?]]="OK",TRUE,FALSE)</f>
        <v>1</v>
      </c>
      <c r="Y343" s="12" t="b">
        <f>IFERROR(IF(YEAR(Table810[[#This Row],[RISE Storage End Date]])=2025,TRUE,FALSE),FALSE)</f>
        <v>1</v>
      </c>
      <c r="Z343" s="11" t="b">
        <v>0</v>
      </c>
      <c r="AA343" s="13">
        <v>229</v>
      </c>
      <c r="AB343" s="13" t="s">
        <v>76</v>
      </c>
      <c r="AC343" s="13" t="s">
        <v>1631</v>
      </c>
      <c r="AD343" s="13" t="s">
        <v>1627</v>
      </c>
      <c r="AE343" s="13" t="s">
        <v>78</v>
      </c>
      <c r="AF343" s="13" t="s">
        <v>1632</v>
      </c>
      <c r="AG343" s="13" t="s">
        <v>179</v>
      </c>
      <c r="AH343" s="13" t="s">
        <v>102</v>
      </c>
      <c r="AI343" s="13" t="s">
        <v>93</v>
      </c>
      <c r="AJ343" s="14">
        <v>26215000</v>
      </c>
      <c r="AK343" s="18"/>
      <c r="AL343" s="18"/>
      <c r="AM343" s="13" t="s">
        <v>1633</v>
      </c>
      <c r="AN343" s="13" t="s">
        <v>63</v>
      </c>
      <c r="AO343" s="13" t="s">
        <v>1627</v>
      </c>
      <c r="AP343" s="13" t="s">
        <v>1627</v>
      </c>
      <c r="AQ343" s="21" t="s">
        <v>64</v>
      </c>
      <c r="AR343" s="26">
        <v>23190</v>
      </c>
      <c r="AS343" s="26">
        <v>46007</v>
      </c>
      <c r="AT343" s="25">
        <v>22819</v>
      </c>
      <c r="AU343" s="25" t="s">
        <v>65</v>
      </c>
      <c r="AV343" s="25" t="s">
        <v>65</v>
      </c>
      <c r="AW343" s="25" t="s">
        <v>65</v>
      </c>
      <c r="AX343" s="24"/>
    </row>
    <row r="344" spans="1:50" ht="16.5" customHeight="1">
      <c r="A344" s="36" t="s">
        <v>1634</v>
      </c>
      <c r="B344" s="32"/>
      <c r="C344" s="32" t="s">
        <v>97</v>
      </c>
      <c r="D344" s="32"/>
      <c r="E344" s="32"/>
      <c r="F344" s="28" t="s">
        <v>61</v>
      </c>
      <c r="G344" s="32"/>
      <c r="H344" s="32" t="str">
        <f>IF(ISNUMBER(Table810[[#This Row],[Total Capacity]]),"USBR Enterprise Asset Registry",IF(Table810[[#This Row],[Total Capacity]]="",""))</f>
        <v/>
      </c>
      <c r="I344" s="32"/>
      <c r="J344" s="32"/>
      <c r="K344" s="32"/>
      <c r="L344" s="53" t="s">
        <v>98</v>
      </c>
      <c r="M344" s="48"/>
      <c r="N344" s="50" t="s">
        <v>98</v>
      </c>
      <c r="O344" s="32"/>
      <c r="P344" s="41"/>
      <c r="Q344" s="32" t="str">
        <f>IF(OR(Table810[[#This Row],[Post-Review Decision]]="Include", Table810[[#This Row],[Post-Review Decision]]="Include if possible", Table810[[#This Row],[Post-Review Decision]]="Include (Omit % Avg if needed)",  Table810[[#This Row],[Post-Review Decision]]="Include (Omit % Avg)"),Table810[[#This Row],[EAR Total Capacity]],"")</f>
        <v/>
      </c>
      <c r="R344" s="32"/>
      <c r="S344" s="45">
        <v>0</v>
      </c>
      <c r="T344" s="32"/>
      <c r="U344" s="32"/>
      <c r="V344" s="13" t="s">
        <v>176</v>
      </c>
      <c r="W344" s="12" t="b">
        <f>ISNUMBER(Table810[[#This Row],[EAR Total Capacity]])</f>
        <v>0</v>
      </c>
      <c r="X344" s="12" t="b">
        <f>IF(Table810[[#This Row],[Has  Storage for Full Averaging Period?]]="OK",TRUE,FALSE)</f>
        <v>0</v>
      </c>
      <c r="Y344" s="12" t="b">
        <f>IFERROR(IF(YEAR(Table810[[#This Row],[RISE Storage End Date]])=2025,TRUE,FALSE),FALSE)</f>
        <v>0</v>
      </c>
      <c r="Z344" s="11" t="b">
        <v>0</v>
      </c>
      <c r="AA344" s="13">
        <v>852</v>
      </c>
      <c r="AB344" s="13" t="s">
        <v>76</v>
      </c>
      <c r="AC344" s="13" t="s">
        <v>1635</v>
      </c>
      <c r="AD344" s="13" t="s">
        <v>1634</v>
      </c>
      <c r="AE344" s="13" t="s">
        <v>101</v>
      </c>
      <c r="AF344" s="13" t="s">
        <v>1636</v>
      </c>
      <c r="AG344" s="13" t="s">
        <v>179</v>
      </c>
      <c r="AH344" s="13" t="s">
        <v>180</v>
      </c>
      <c r="AI344" s="13" t="s">
        <v>103</v>
      </c>
      <c r="AJ344" s="13"/>
      <c r="AK344" s="15"/>
      <c r="AL344" s="15"/>
      <c r="AM344" s="15" t="s">
        <v>61</v>
      </c>
      <c r="AN344" s="15" t="s">
        <v>61</v>
      </c>
      <c r="AO344" s="15" t="s">
        <v>61</v>
      </c>
      <c r="AP344" s="15" t="s">
        <v>61</v>
      </c>
      <c r="AQ344" s="22"/>
      <c r="AR344" s="25"/>
      <c r="AS344" s="25"/>
      <c r="AT344" s="25"/>
      <c r="AU344" s="25"/>
      <c r="AV344" s="25"/>
      <c r="AW344" s="25"/>
      <c r="AX344" s="24"/>
    </row>
    <row r="345" spans="1:50" ht="16.5" customHeight="1">
      <c r="A345" s="36" t="s">
        <v>1637</v>
      </c>
      <c r="B345" s="28" t="s">
        <v>68</v>
      </c>
      <c r="C345" s="57" t="s">
        <v>69</v>
      </c>
      <c r="D345" s="57"/>
      <c r="E345" s="28" t="s">
        <v>70</v>
      </c>
      <c r="F345" s="57">
        <v>3666</v>
      </c>
      <c r="G345" s="28">
        <v>3</v>
      </c>
      <c r="H345" s="57" t="str">
        <f>IF(ISNUMBER(Table810[[#This Row],[Total Capacity]]),"USBR Enterprise Asset Registry",IF(Table810[[#This Row],[Total Capacity]]="",""))</f>
        <v>USBR Enterprise Asset Registry</v>
      </c>
      <c r="I345" s="28" t="s">
        <v>71</v>
      </c>
      <c r="J345" s="57" t="s">
        <v>72</v>
      </c>
      <c r="K345" s="57"/>
      <c r="L345" s="58">
        <v>148633</v>
      </c>
      <c r="M345" s="48"/>
      <c r="N345" s="50">
        <v>148633</v>
      </c>
      <c r="O345" s="57"/>
      <c r="P345" s="60"/>
      <c r="Q345" s="57">
        <f>IF(OR(Table810[[#This Row],[Post-Review Decision]]="Include", Table810[[#This Row],[Post-Review Decision]]="Include if possible", Table810[[#This Row],[Post-Review Decision]]="Include (Omit % Avg if needed)",  Table810[[#This Row],[Post-Review Decision]]="Include (Omit % Avg)"),Table810[[#This Row],[EAR Total Capacity]],"")</f>
        <v>150216</v>
      </c>
      <c r="R345" s="57">
        <v>148633</v>
      </c>
      <c r="S345" s="46">
        <v>148917</v>
      </c>
      <c r="T345" s="57" t="s">
        <v>1638</v>
      </c>
      <c r="U345" s="57" t="s">
        <v>1639</v>
      </c>
      <c r="V345" s="13" t="s">
        <v>653</v>
      </c>
      <c r="W345" s="12" t="b">
        <f>ISNUMBER(Table810[[#This Row],[EAR Total Capacity]])</f>
        <v>1</v>
      </c>
      <c r="X345" s="12" t="s">
        <v>75</v>
      </c>
      <c r="Y345" s="12" t="b">
        <f>IFERROR(IF(YEAR(Table810[[#This Row],[RISE Storage End Date]])=2025,TRUE,FALSE),FALSE)</f>
        <v>0</v>
      </c>
      <c r="Z345" s="11" t="b">
        <v>0</v>
      </c>
      <c r="AA345" s="13">
        <v>335</v>
      </c>
      <c r="AB345" s="13" t="s">
        <v>76</v>
      </c>
      <c r="AC345" s="13" t="s">
        <v>1640</v>
      </c>
      <c r="AD345" s="13" t="s">
        <v>1637</v>
      </c>
      <c r="AE345" s="13" t="s">
        <v>78</v>
      </c>
      <c r="AF345" s="13" t="s">
        <v>1641</v>
      </c>
      <c r="AG345" s="13" t="s">
        <v>80</v>
      </c>
      <c r="AH345" s="13" t="s">
        <v>81</v>
      </c>
      <c r="AI345" s="13" t="s">
        <v>93</v>
      </c>
      <c r="AJ345" s="19">
        <v>150216</v>
      </c>
      <c r="AK345" s="18"/>
      <c r="AL345" s="18"/>
      <c r="AM345" s="13" t="s">
        <v>1642</v>
      </c>
      <c r="AN345" s="13" t="s">
        <v>84</v>
      </c>
      <c r="AO345" s="13" t="s">
        <v>1637</v>
      </c>
      <c r="AP345" s="13" t="s">
        <v>1643</v>
      </c>
      <c r="AQ345" s="21" t="s">
        <v>64</v>
      </c>
      <c r="AR345" s="25"/>
      <c r="AS345" s="25"/>
      <c r="AT345" s="25"/>
      <c r="AU345" s="25"/>
      <c r="AV345" s="25"/>
      <c r="AW345" s="25"/>
      <c r="AX345" s="24"/>
    </row>
    <row r="346" spans="1:50" ht="16.5" customHeight="1">
      <c r="A346" s="36" t="s">
        <v>1644</v>
      </c>
      <c r="B346" s="28" t="s">
        <v>68</v>
      </c>
      <c r="C346" s="57" t="s">
        <v>52</v>
      </c>
      <c r="D346" s="57" t="s">
        <v>303</v>
      </c>
      <c r="E346" s="57" t="s">
        <v>1645</v>
      </c>
      <c r="F346" s="28" t="s">
        <v>61</v>
      </c>
      <c r="G346" s="28" t="s">
        <v>55</v>
      </c>
      <c r="H346" s="57" t="str">
        <f>IF(ISNUMBER(Table810[[#This Row],[Total Capacity]]),"USBR Enterprise Asset Registry",IF(Table810[[#This Row],[Total Capacity]]="",""))</f>
        <v>USBR Enterprise Asset Registry</v>
      </c>
      <c r="I346" s="28" t="s">
        <v>57</v>
      </c>
      <c r="J346" s="57" t="s">
        <v>72</v>
      </c>
      <c r="K346" s="57"/>
      <c r="L346" s="58">
        <v>29840</v>
      </c>
      <c r="M346" s="48"/>
      <c r="N346" s="50">
        <v>29840</v>
      </c>
      <c r="O346" s="57"/>
      <c r="P346" s="60" t="s">
        <v>1646</v>
      </c>
      <c r="Q346" s="57">
        <f>IF(OR(Table810[[#This Row],[Post-Review Decision]]="Include", Table810[[#This Row],[Post-Review Decision]]="Include if possible", Table810[[#This Row],[Post-Review Decision]]="Include (Omit % Avg if needed)",  Table810[[#This Row],[Post-Review Decision]]="Include (Omit % Avg)"),Table810[[#This Row],[EAR Total Capacity]],"")</f>
        <v>29840</v>
      </c>
      <c r="R346" s="57">
        <v>28640</v>
      </c>
      <c r="S346" s="46">
        <v>29757</v>
      </c>
      <c r="T346" s="57" t="s">
        <v>1644</v>
      </c>
      <c r="U346" s="57" t="s">
        <v>1647</v>
      </c>
      <c r="V346" s="13" t="s">
        <v>1292</v>
      </c>
      <c r="W346" s="12" t="b">
        <f>ISNUMBER(Table810[[#This Row],[EAR Total Capacity]])</f>
        <v>1</v>
      </c>
      <c r="X346" s="12" t="b">
        <f>IF(Table810[[#This Row],[Has  Storage for Full Averaging Period?]]="OK",TRUE,FALSE)</f>
        <v>0</v>
      </c>
      <c r="Y346" s="12" t="b">
        <f>IFERROR(IF(YEAR(Table810[[#This Row],[RISE Storage End Date]])=2025,TRUE,FALSE),FALSE)</f>
        <v>0</v>
      </c>
      <c r="Z346" s="11" t="b">
        <v>0</v>
      </c>
      <c r="AA346" s="13">
        <v>336</v>
      </c>
      <c r="AB346" s="13" t="s">
        <v>76</v>
      </c>
      <c r="AC346" s="13" t="s">
        <v>1648</v>
      </c>
      <c r="AD346" s="13" t="s">
        <v>1644</v>
      </c>
      <c r="AE346" s="13" t="s">
        <v>78</v>
      </c>
      <c r="AF346" s="13" t="s">
        <v>1649</v>
      </c>
      <c r="AG346" s="13" t="s">
        <v>159</v>
      </c>
      <c r="AH346" s="13" t="s">
        <v>160</v>
      </c>
      <c r="AI346" s="13" t="s">
        <v>93</v>
      </c>
      <c r="AJ346" s="13">
        <v>29840</v>
      </c>
      <c r="AK346" s="15">
        <v>-120.1386</v>
      </c>
      <c r="AL346" s="15">
        <v>39.378900000000002</v>
      </c>
      <c r="AM346" s="15" t="s">
        <v>61</v>
      </c>
      <c r="AN346" s="15" t="s">
        <v>61</v>
      </c>
      <c r="AO346" s="15" t="s">
        <v>61</v>
      </c>
      <c r="AP346" s="15" t="s">
        <v>61</v>
      </c>
      <c r="AQ346" s="21" t="s">
        <v>136</v>
      </c>
      <c r="AR346" s="25"/>
      <c r="AS346" s="25"/>
      <c r="AT346" s="25"/>
      <c r="AU346" s="25"/>
      <c r="AV346" s="25"/>
      <c r="AW346" s="25"/>
      <c r="AX346" s="24"/>
    </row>
    <row r="347" spans="1:50" ht="16.5" customHeight="1">
      <c r="A347" s="36" t="s">
        <v>1650</v>
      </c>
      <c r="B347" s="28"/>
      <c r="C347" s="28" t="s">
        <v>97</v>
      </c>
      <c r="D347" s="28"/>
      <c r="E347" s="28"/>
      <c r="F347" s="28" t="s">
        <v>61</v>
      </c>
      <c r="G347" s="28"/>
      <c r="H347" s="28" t="str">
        <f>IF(ISNUMBER(Table810[[#This Row],[Total Capacity]]),"USBR Enterprise Asset Registry",IF(Table810[[#This Row],[Total Capacity]]="",""))</f>
        <v/>
      </c>
      <c r="I347" s="28"/>
      <c r="J347" s="28"/>
      <c r="K347" s="28"/>
      <c r="L347" s="50" t="s">
        <v>98</v>
      </c>
      <c r="M347" s="48"/>
      <c r="N347" s="50" t="s">
        <v>98</v>
      </c>
      <c r="O347" s="28"/>
      <c r="P347" s="37"/>
      <c r="Q347" s="28" t="str">
        <f>IF(OR(Table810[[#This Row],[Post-Review Decision]]="Include", Table810[[#This Row],[Post-Review Decision]]="Include if possible", Table810[[#This Row],[Post-Review Decision]]="Include (Omit % Avg if needed)",  Table810[[#This Row],[Post-Review Decision]]="Include (Omit % Avg)"),Table810[[#This Row],[EAR Total Capacity]],"")</f>
        <v/>
      </c>
      <c r="R347" s="28"/>
      <c r="S347" s="45">
        <v>0</v>
      </c>
      <c r="T347" s="28"/>
      <c r="U347" s="28"/>
      <c r="V347" s="13" t="s">
        <v>385</v>
      </c>
      <c r="W347" s="12" t="b">
        <f>ISNUMBER(Table810[[#This Row],[EAR Total Capacity]])</f>
        <v>0</v>
      </c>
      <c r="X347" s="12" t="b">
        <f>IF(Table810[[#This Row],[Has  Storage for Full Averaging Period?]]="OK",TRUE,FALSE)</f>
        <v>0</v>
      </c>
      <c r="Y347" s="12" t="b">
        <f>IFERROR(IF(YEAR(Table810[[#This Row],[RISE Storage End Date]])=2025,TRUE,FALSE),FALSE)</f>
        <v>0</v>
      </c>
      <c r="Z347" s="11" t="b">
        <v>0</v>
      </c>
      <c r="AA347" s="13">
        <v>337</v>
      </c>
      <c r="AB347" s="13" t="s">
        <v>76</v>
      </c>
      <c r="AC347" s="13" t="s">
        <v>1651</v>
      </c>
      <c r="AD347" s="13" t="s">
        <v>1650</v>
      </c>
      <c r="AE347" s="13" t="s">
        <v>78</v>
      </c>
      <c r="AF347" s="13" t="s">
        <v>1652</v>
      </c>
      <c r="AG347" s="13" t="s">
        <v>80</v>
      </c>
      <c r="AH347" s="13" t="s">
        <v>81</v>
      </c>
      <c r="AI347" s="13" t="s">
        <v>103</v>
      </c>
      <c r="AJ347" s="13"/>
      <c r="AK347" s="15"/>
      <c r="AL347" s="15"/>
      <c r="AM347" s="15" t="s">
        <v>61</v>
      </c>
      <c r="AN347" s="15" t="s">
        <v>61</v>
      </c>
      <c r="AO347" s="15" t="s">
        <v>61</v>
      </c>
      <c r="AP347" s="15" t="s">
        <v>61</v>
      </c>
      <c r="AQ347" s="21" t="s">
        <v>136</v>
      </c>
      <c r="AR347" s="25"/>
      <c r="AS347" s="25"/>
      <c r="AT347" s="25"/>
      <c r="AU347" s="25"/>
      <c r="AV347" s="25"/>
      <c r="AW347" s="25"/>
      <c r="AX347" s="24"/>
    </row>
    <row r="348" spans="1:50" ht="16.5" customHeight="1">
      <c r="A348" s="36" t="s">
        <v>1653</v>
      </c>
      <c r="B348" s="28" t="s">
        <v>68</v>
      </c>
      <c r="C348" s="28" t="s">
        <v>86</v>
      </c>
      <c r="D348" s="28"/>
      <c r="E348" s="28" t="s">
        <v>70</v>
      </c>
      <c r="F348" s="28">
        <v>445</v>
      </c>
      <c r="G348" s="28">
        <v>3</v>
      </c>
      <c r="H348" s="28" t="str">
        <f>IF(ISNUMBER(Table810[[#This Row],[Total Capacity]]),"USBR Enterprise Asset Registry",IF(Table810[[#This Row],[Total Capacity]]="",""))</f>
        <v>USBR Enterprise Asset Registry</v>
      </c>
      <c r="I348" s="28" t="s">
        <v>57</v>
      </c>
      <c r="J348" s="33">
        <v>26990</v>
      </c>
      <c r="K348" s="28"/>
      <c r="L348" s="50">
        <v>338374</v>
      </c>
      <c r="M348" s="48"/>
      <c r="N348" s="50">
        <v>338374</v>
      </c>
      <c r="O348" s="28"/>
      <c r="P348" s="37"/>
      <c r="Q348" s="28">
        <f>IF(OR(Table810[[#This Row],[Post-Review Decision]]="Include", Table810[[#This Row],[Post-Review Decision]]="Include if possible", Table810[[#This Row],[Post-Review Decision]]="Include (Omit % Avg if needed)",  Table810[[#This Row],[Post-Review Decision]]="Include (Omit % Avg)"),Table810[[#This Row],[EAR Total Capacity]],"")</f>
        <v>338374</v>
      </c>
      <c r="R348" s="28">
        <v>312773</v>
      </c>
      <c r="S348" s="46">
        <v>336479</v>
      </c>
      <c r="T348" s="28" t="s">
        <v>1653</v>
      </c>
      <c r="U348" s="28" t="s">
        <v>1654</v>
      </c>
      <c r="V348" s="13" t="s">
        <v>442</v>
      </c>
      <c r="W348" s="12" t="b">
        <f>ISNUMBER(Table810[[#This Row],[EAR Total Capacity]])</f>
        <v>1</v>
      </c>
      <c r="X348" s="12" t="b">
        <f>IF(Table810[[#This Row],[Has  Storage for Full Averaging Period?]]="OK",TRUE,FALSE)</f>
        <v>1</v>
      </c>
      <c r="Y348" s="12" t="b">
        <f>IFERROR(IF(YEAR(Table810[[#This Row],[RISE Storage End Date]])=2025,TRUE,FALSE),FALSE)</f>
        <v>1</v>
      </c>
      <c r="Z348" s="11" t="b">
        <v>0</v>
      </c>
      <c r="AA348" s="13">
        <v>338</v>
      </c>
      <c r="AB348" s="13" t="s">
        <v>76</v>
      </c>
      <c r="AC348" s="13" t="s">
        <v>1655</v>
      </c>
      <c r="AD348" s="13" t="s">
        <v>1653</v>
      </c>
      <c r="AE348" s="13" t="s">
        <v>78</v>
      </c>
      <c r="AF348" s="13" t="s">
        <v>1656</v>
      </c>
      <c r="AG348" s="13" t="s">
        <v>91</v>
      </c>
      <c r="AH348" s="13" t="s">
        <v>92</v>
      </c>
      <c r="AI348" s="13" t="s">
        <v>93</v>
      </c>
      <c r="AJ348" s="13">
        <v>338374</v>
      </c>
      <c r="AK348" s="18"/>
      <c r="AL348" s="18"/>
      <c r="AM348" s="13" t="s">
        <v>1657</v>
      </c>
      <c r="AN348" s="13" t="s">
        <v>135</v>
      </c>
      <c r="AO348" s="13" t="s">
        <v>1653</v>
      </c>
      <c r="AP348" s="13" t="s">
        <v>1653</v>
      </c>
      <c r="AQ348" s="21" t="s">
        <v>64</v>
      </c>
      <c r="AR348" s="26">
        <v>27164</v>
      </c>
      <c r="AS348" s="26">
        <v>46007</v>
      </c>
      <c r="AT348" s="25">
        <v>18838</v>
      </c>
      <c r="AU348" s="25" t="s">
        <v>65</v>
      </c>
      <c r="AV348" s="25" t="s">
        <v>65</v>
      </c>
      <c r="AW348" s="25" t="s">
        <v>65</v>
      </c>
      <c r="AX348" s="24"/>
    </row>
    <row r="349" spans="1:50" ht="16.5" customHeight="1">
      <c r="A349" s="36" t="s">
        <v>1658</v>
      </c>
      <c r="B349" s="28"/>
      <c r="C349" s="28" t="s">
        <v>97</v>
      </c>
      <c r="D349" s="28"/>
      <c r="E349" s="28"/>
      <c r="F349" s="32" t="s">
        <v>61</v>
      </c>
      <c r="G349" s="28"/>
      <c r="H349" s="28" t="str">
        <f>IF(ISNUMBER(Table810[[#This Row],[Total Capacity]]),"USBR Enterprise Asset Registry",IF(Table810[[#This Row],[Total Capacity]]="",""))</f>
        <v/>
      </c>
      <c r="I349" s="28"/>
      <c r="J349" s="28"/>
      <c r="K349" s="28"/>
      <c r="L349" s="50" t="s">
        <v>98</v>
      </c>
      <c r="M349" s="48"/>
      <c r="N349" s="50" t="s">
        <v>98</v>
      </c>
      <c r="O349" s="28"/>
      <c r="P349" s="37"/>
      <c r="Q349" s="28" t="str">
        <f>IF(OR(Table810[[#This Row],[Post-Review Decision]]="Include", Table810[[#This Row],[Post-Review Decision]]="Include if possible", Table810[[#This Row],[Post-Review Decision]]="Include (Omit % Avg if needed)",  Table810[[#This Row],[Post-Review Decision]]="Include (Omit % Avg)"),Table810[[#This Row],[EAR Total Capacity]],"")</f>
        <v/>
      </c>
      <c r="R349" s="28"/>
      <c r="S349" s="45">
        <v>0</v>
      </c>
      <c r="T349" s="28"/>
      <c r="U349" s="28"/>
      <c r="V349" s="13" t="s">
        <v>242</v>
      </c>
      <c r="W349" s="12" t="b">
        <f>ISNUMBER(Table810[[#This Row],[EAR Total Capacity]])</f>
        <v>0</v>
      </c>
      <c r="X349" s="12" t="b">
        <f>IF(Table810[[#This Row],[Has  Storage for Full Averaging Period?]]="OK",TRUE,FALSE)</f>
        <v>0</v>
      </c>
      <c r="Y349" s="12" t="b">
        <f>IFERROR(IF(YEAR(Table810[[#This Row],[RISE Storage End Date]])=2025,TRUE,FALSE),FALSE)</f>
        <v>0</v>
      </c>
      <c r="Z349" s="11" t="b">
        <v>0</v>
      </c>
      <c r="AA349" s="13">
        <v>339</v>
      </c>
      <c r="AB349" s="13" t="s">
        <v>76</v>
      </c>
      <c r="AC349" s="13" t="s">
        <v>1659</v>
      </c>
      <c r="AD349" s="13" t="s">
        <v>1658</v>
      </c>
      <c r="AE349" s="13" t="s">
        <v>78</v>
      </c>
      <c r="AF349" s="13" t="s">
        <v>1660</v>
      </c>
      <c r="AG349" s="13" t="s">
        <v>159</v>
      </c>
      <c r="AH349" s="13" t="s">
        <v>160</v>
      </c>
      <c r="AI349" s="13" t="s">
        <v>103</v>
      </c>
      <c r="AJ349" s="13"/>
      <c r="AK349" s="15"/>
      <c r="AL349" s="15"/>
      <c r="AM349" s="15" t="s">
        <v>61</v>
      </c>
      <c r="AN349" s="15" t="s">
        <v>61</v>
      </c>
      <c r="AO349" s="15" t="s">
        <v>61</v>
      </c>
      <c r="AP349" s="15" t="s">
        <v>61</v>
      </c>
      <c r="AQ349" s="21" t="s">
        <v>136</v>
      </c>
      <c r="AR349" s="25"/>
      <c r="AS349" s="25"/>
      <c r="AT349" s="25"/>
      <c r="AU349" s="25"/>
      <c r="AV349" s="25"/>
      <c r="AW349" s="25"/>
      <c r="AX349" s="24"/>
    </row>
    <row r="350" spans="1:50" ht="16.5" customHeight="1">
      <c r="A350" s="36" t="s">
        <v>1661</v>
      </c>
      <c r="B350" s="32"/>
      <c r="C350" s="32" t="s">
        <v>97</v>
      </c>
      <c r="D350" s="32"/>
      <c r="E350" s="32"/>
      <c r="F350" s="28" t="s">
        <v>61</v>
      </c>
      <c r="G350" s="32"/>
      <c r="H350" s="32" t="str">
        <f>IF(ISNUMBER(Table810[[#This Row],[Total Capacity]]),"USBR Enterprise Asset Registry",IF(Table810[[#This Row],[Total Capacity]]="",""))</f>
        <v/>
      </c>
      <c r="I350" s="32"/>
      <c r="J350" s="32"/>
      <c r="K350" s="32"/>
      <c r="L350" s="53" t="s">
        <v>98</v>
      </c>
      <c r="M350" s="48"/>
      <c r="N350" s="50" t="s">
        <v>98</v>
      </c>
      <c r="O350" s="32"/>
      <c r="P350" s="41"/>
      <c r="Q350" s="32" t="str">
        <f>IF(OR(Table810[[#This Row],[Post-Review Decision]]="Include", Table810[[#This Row],[Post-Review Decision]]="Include if possible", Table810[[#This Row],[Post-Review Decision]]="Include (Omit % Avg if needed)",  Table810[[#This Row],[Post-Review Decision]]="Include (Omit % Avg)"),Table810[[#This Row],[EAR Total Capacity]],"")</f>
        <v/>
      </c>
      <c r="R350" s="32"/>
      <c r="S350" s="45">
        <v>0</v>
      </c>
      <c r="T350" s="32"/>
      <c r="U350" s="32"/>
      <c r="V350" s="13" t="s">
        <v>684</v>
      </c>
      <c r="W350" s="12" t="b">
        <f>ISNUMBER(Table810[[#This Row],[EAR Total Capacity]])</f>
        <v>1</v>
      </c>
      <c r="X350" s="12" t="b">
        <f>IF(Table810[[#This Row],[Has  Storage for Full Averaging Period?]]="OK",TRUE,FALSE)</f>
        <v>0</v>
      </c>
      <c r="Y350" s="12" t="b">
        <f>IFERROR(IF(YEAR(Table810[[#This Row],[RISE Storage End Date]])=2025,TRUE,FALSE),FALSE)</f>
        <v>0</v>
      </c>
      <c r="Z350" s="11" t="b">
        <v>0</v>
      </c>
      <c r="AA350" s="13">
        <v>341</v>
      </c>
      <c r="AB350" s="13" t="s">
        <v>76</v>
      </c>
      <c r="AC350" s="13" t="s">
        <v>1662</v>
      </c>
      <c r="AD350" s="13" t="s">
        <v>1661</v>
      </c>
      <c r="AE350" s="13" t="s">
        <v>78</v>
      </c>
      <c r="AF350" s="13" t="s">
        <v>1663</v>
      </c>
      <c r="AG350" s="13" t="s">
        <v>159</v>
      </c>
      <c r="AH350" s="13" t="s">
        <v>160</v>
      </c>
      <c r="AI350" s="13" t="s">
        <v>103</v>
      </c>
      <c r="AJ350" s="13">
        <v>3900</v>
      </c>
      <c r="AK350" s="15"/>
      <c r="AL350" s="15"/>
      <c r="AM350" s="15" t="s">
        <v>61</v>
      </c>
      <c r="AN350" s="15" t="s">
        <v>61</v>
      </c>
      <c r="AO350" s="15" t="s">
        <v>61</v>
      </c>
      <c r="AP350" s="15" t="s">
        <v>61</v>
      </c>
      <c r="AQ350" s="21" t="s">
        <v>136</v>
      </c>
      <c r="AR350" s="25"/>
      <c r="AS350" s="25"/>
      <c r="AT350" s="25"/>
      <c r="AU350" s="25"/>
      <c r="AV350" s="25"/>
      <c r="AW350" s="25"/>
      <c r="AX350" s="24"/>
    </row>
    <row r="351" spans="1:50" ht="16.5" customHeight="1">
      <c r="A351" s="36" t="s">
        <v>1664</v>
      </c>
      <c r="B351" s="28"/>
      <c r="C351" s="28" t="s">
        <v>97</v>
      </c>
      <c r="D351" s="28"/>
      <c r="E351" s="28"/>
      <c r="F351" s="28" t="s">
        <v>61</v>
      </c>
      <c r="G351" s="28"/>
      <c r="H351" s="28" t="str">
        <f>IF(ISNUMBER(Table810[[#This Row],[Total Capacity]]),"USBR Enterprise Asset Registry",IF(Table810[[#This Row],[Total Capacity]]="",""))</f>
        <v/>
      </c>
      <c r="I351" s="28"/>
      <c r="J351" s="28"/>
      <c r="K351" s="28"/>
      <c r="L351" s="50" t="s">
        <v>98</v>
      </c>
      <c r="M351" s="48"/>
      <c r="N351" s="50" t="s">
        <v>98</v>
      </c>
      <c r="O351" s="28"/>
      <c r="P351" s="37"/>
      <c r="Q351" s="28" t="str">
        <f>IF(OR(Table810[[#This Row],[Post-Review Decision]]="Include", Table810[[#This Row],[Post-Review Decision]]="Include if possible", Table810[[#This Row],[Post-Review Decision]]="Include (Omit % Avg if needed)",  Table810[[#This Row],[Post-Review Decision]]="Include (Omit % Avg)"),Table810[[#This Row],[EAR Total Capacity]],"")</f>
        <v/>
      </c>
      <c r="R351" s="28"/>
      <c r="S351" s="45">
        <v>0</v>
      </c>
      <c r="T351" s="28"/>
      <c r="U351" s="28"/>
      <c r="V351" s="13" t="s">
        <v>363</v>
      </c>
      <c r="W351" s="12" t="b">
        <f>ISNUMBER(Table810[[#This Row],[EAR Total Capacity]])</f>
        <v>0</v>
      </c>
      <c r="X351" s="12" t="b">
        <f>IF(Table810[[#This Row],[Has  Storage for Full Averaging Period?]]="OK",TRUE,FALSE)</f>
        <v>0</v>
      </c>
      <c r="Y351" s="12" t="b">
        <f>IFERROR(IF(YEAR(Table810[[#This Row],[RISE Storage End Date]])=2025,TRUE,FALSE),FALSE)</f>
        <v>0</v>
      </c>
      <c r="Z351" s="11" t="b">
        <v>0</v>
      </c>
      <c r="AA351" s="13">
        <v>342</v>
      </c>
      <c r="AB351" s="13" t="s">
        <v>76</v>
      </c>
      <c r="AC351" s="13" t="s">
        <v>1665</v>
      </c>
      <c r="AD351" s="13" t="s">
        <v>1664</v>
      </c>
      <c r="AE351" s="13" t="s">
        <v>78</v>
      </c>
      <c r="AF351" s="13" t="s">
        <v>1666</v>
      </c>
      <c r="AG351" s="13" t="s">
        <v>91</v>
      </c>
      <c r="AH351" s="13" t="s">
        <v>92</v>
      </c>
      <c r="AI351" s="13" t="s">
        <v>110</v>
      </c>
      <c r="AJ351" s="13"/>
      <c r="AK351" s="15"/>
      <c r="AL351" s="15"/>
      <c r="AM351" s="15" t="s">
        <v>61</v>
      </c>
      <c r="AN351" s="15" t="s">
        <v>61</v>
      </c>
      <c r="AO351" s="15" t="s">
        <v>61</v>
      </c>
      <c r="AP351" s="15" t="s">
        <v>61</v>
      </c>
      <c r="AQ351" s="21" t="s">
        <v>136</v>
      </c>
      <c r="AR351" s="25"/>
      <c r="AS351" s="25"/>
      <c r="AT351" s="25"/>
      <c r="AU351" s="25"/>
      <c r="AV351" s="25"/>
      <c r="AW351" s="25"/>
      <c r="AX351" s="24"/>
    </row>
    <row r="352" spans="1:50" ht="16.5" customHeight="1">
      <c r="A352" s="36" t="s">
        <v>1667</v>
      </c>
      <c r="B352" s="28"/>
      <c r="C352" s="28" t="s">
        <v>97</v>
      </c>
      <c r="D352" s="28"/>
      <c r="E352" s="28"/>
      <c r="F352" s="28" t="s">
        <v>61</v>
      </c>
      <c r="G352" s="28"/>
      <c r="H352" s="28" t="str">
        <f>IF(ISNUMBER(Table810[[#This Row],[Total Capacity]]),"USBR Enterprise Asset Registry",IF(Table810[[#This Row],[Total Capacity]]="",""))</f>
        <v/>
      </c>
      <c r="I352" s="28"/>
      <c r="J352" s="28"/>
      <c r="K352" s="28"/>
      <c r="L352" s="50" t="s">
        <v>98</v>
      </c>
      <c r="M352" s="48"/>
      <c r="N352" s="50" t="s">
        <v>98</v>
      </c>
      <c r="O352" s="28"/>
      <c r="P352" s="37"/>
      <c r="Q352" s="28" t="str">
        <f>IF(OR(Table810[[#This Row],[Post-Review Decision]]="Include", Table810[[#This Row],[Post-Review Decision]]="Include if possible", Table810[[#This Row],[Post-Review Decision]]="Include (Omit % Avg if needed)",  Table810[[#This Row],[Post-Review Decision]]="Include (Omit % Avg)"),Table810[[#This Row],[EAR Total Capacity]],"")</f>
        <v/>
      </c>
      <c r="R352" s="28"/>
      <c r="S352" s="45">
        <v>0</v>
      </c>
      <c r="T352" s="28"/>
      <c r="U352" s="28"/>
      <c r="V352" s="13" t="s">
        <v>1611</v>
      </c>
      <c r="W352" s="12" t="b">
        <f>ISNUMBER(Table810[[#This Row],[EAR Total Capacity]])</f>
        <v>1</v>
      </c>
      <c r="X352" s="12" t="b">
        <f>IF(Table810[[#This Row],[Has  Storage for Full Averaging Period?]]="OK",TRUE,FALSE)</f>
        <v>0</v>
      </c>
      <c r="Y352" s="12" t="b">
        <f>IFERROR(IF(YEAR(Table810[[#This Row],[RISE Storage End Date]])=2025,TRUE,FALSE),FALSE)</f>
        <v>0</v>
      </c>
      <c r="Z352" s="11" t="b">
        <v>0</v>
      </c>
      <c r="AA352" s="13">
        <v>343</v>
      </c>
      <c r="AB352" s="13" t="s">
        <v>76</v>
      </c>
      <c r="AC352" s="13" t="s">
        <v>1668</v>
      </c>
      <c r="AD352" s="13" t="s">
        <v>1667</v>
      </c>
      <c r="AE352" s="13" t="s">
        <v>78</v>
      </c>
      <c r="AF352" s="13" t="s">
        <v>1669</v>
      </c>
      <c r="AG352" s="13" t="s">
        <v>179</v>
      </c>
      <c r="AH352" s="13" t="s">
        <v>180</v>
      </c>
      <c r="AI352" s="13" t="s">
        <v>356</v>
      </c>
      <c r="AJ352" s="13">
        <v>45050</v>
      </c>
      <c r="AK352" s="15"/>
      <c r="AL352" s="15"/>
      <c r="AM352" s="15" t="s">
        <v>61</v>
      </c>
      <c r="AN352" s="15" t="s">
        <v>61</v>
      </c>
      <c r="AO352" s="15" t="s">
        <v>61</v>
      </c>
      <c r="AP352" s="15" t="s">
        <v>61</v>
      </c>
      <c r="AQ352" s="21" t="s">
        <v>136</v>
      </c>
      <c r="AR352" s="25"/>
      <c r="AS352" s="25"/>
      <c r="AT352" s="25"/>
      <c r="AU352" s="25"/>
      <c r="AV352" s="25"/>
      <c r="AW352" s="25"/>
      <c r="AX352" s="24"/>
    </row>
    <row r="353" spans="1:50" ht="16.5" customHeight="1">
      <c r="A353" s="36" t="s">
        <v>1670</v>
      </c>
      <c r="B353" s="28" t="s">
        <v>68</v>
      </c>
      <c r="C353" s="28" t="s">
        <v>86</v>
      </c>
      <c r="D353" s="28"/>
      <c r="E353" s="28" t="s">
        <v>70</v>
      </c>
      <c r="F353" s="28">
        <v>447</v>
      </c>
      <c r="G353" s="28">
        <v>3</v>
      </c>
      <c r="H353" s="28" t="str">
        <f>IF(ISNUMBER(Table810[[#This Row],[Total Capacity]]),"USBR Enterprise Asset Registry",IF(Table810[[#This Row],[Total Capacity]]="",""))</f>
        <v>USBR Enterprise Asset Registry</v>
      </c>
      <c r="I353" s="28" t="s">
        <v>257</v>
      </c>
      <c r="J353" s="28" t="s">
        <v>72</v>
      </c>
      <c r="K353" s="28"/>
      <c r="L353" s="50">
        <v>25700</v>
      </c>
      <c r="M353" s="48"/>
      <c r="N353" s="50">
        <v>25700</v>
      </c>
      <c r="O353" s="28"/>
      <c r="P353" s="37"/>
      <c r="Q353" s="28">
        <f>IF(OR(Table810[[#This Row],[Post-Review Decision]]="Include", Table810[[#This Row],[Post-Review Decision]]="Include if possible", Table810[[#This Row],[Post-Review Decision]]="Include (Omit % Avg if needed)",  Table810[[#This Row],[Post-Review Decision]]="Include (Omit % Avg)"),Table810[[#This Row],[EAR Total Capacity]],"")</f>
        <v>26000</v>
      </c>
      <c r="R353" s="28">
        <v>22000</v>
      </c>
      <c r="S353" s="46">
        <v>25700</v>
      </c>
      <c r="T353" s="28" t="s">
        <v>1670</v>
      </c>
      <c r="U353" s="28" t="s">
        <v>1671</v>
      </c>
      <c r="V353" s="13" t="s">
        <v>1672</v>
      </c>
      <c r="W353" s="12" t="b">
        <f>ISNUMBER(Table810[[#This Row],[EAR Total Capacity]])</f>
        <v>1</v>
      </c>
      <c r="X353" s="12" t="b">
        <f>IF(Table810[[#This Row],[Has  Storage for Full Averaging Period?]]="OK",TRUE,FALSE)</f>
        <v>1</v>
      </c>
      <c r="Y353" s="12" t="b">
        <f>IFERROR(IF(YEAR(Table810[[#This Row],[RISE Storage End Date]])=2025,TRUE,FALSE),FALSE)</f>
        <v>1</v>
      </c>
      <c r="Z353" s="11" t="b">
        <v>0</v>
      </c>
      <c r="AA353" s="13">
        <v>345</v>
      </c>
      <c r="AB353" s="13" t="s">
        <v>76</v>
      </c>
      <c r="AC353" s="13" t="s">
        <v>1673</v>
      </c>
      <c r="AD353" s="13" t="s">
        <v>1670</v>
      </c>
      <c r="AE353" s="13" t="s">
        <v>78</v>
      </c>
      <c r="AF353" s="13" t="s">
        <v>1674</v>
      </c>
      <c r="AG353" s="13" t="s">
        <v>91</v>
      </c>
      <c r="AH353" s="13" t="s">
        <v>102</v>
      </c>
      <c r="AI353" s="13" t="s">
        <v>93</v>
      </c>
      <c r="AJ353" s="13">
        <v>26000</v>
      </c>
      <c r="AK353" s="18"/>
      <c r="AL353" s="18"/>
      <c r="AM353" s="13" t="s">
        <v>1675</v>
      </c>
      <c r="AN353" s="13" t="s">
        <v>63</v>
      </c>
      <c r="AO353" s="13" t="s">
        <v>1670</v>
      </c>
      <c r="AP353" s="13" t="s">
        <v>1670</v>
      </c>
      <c r="AQ353" s="21" t="s">
        <v>64</v>
      </c>
      <c r="AR353" s="26">
        <v>29342</v>
      </c>
      <c r="AS353" s="26">
        <v>46003</v>
      </c>
      <c r="AT353" s="25">
        <v>16665</v>
      </c>
      <c r="AU353" s="25" t="s">
        <v>65</v>
      </c>
      <c r="AV353" s="25" t="s">
        <v>65</v>
      </c>
      <c r="AW353" s="25" t="s">
        <v>65</v>
      </c>
      <c r="AX353" s="24"/>
    </row>
    <row r="354" spans="1:50" ht="16.5" customHeight="1">
      <c r="A354" s="36" t="s">
        <v>1676</v>
      </c>
      <c r="B354" s="28"/>
      <c r="C354" s="28" t="s">
        <v>97</v>
      </c>
      <c r="D354" s="28"/>
      <c r="E354" s="28"/>
      <c r="F354" s="28" t="s">
        <v>61</v>
      </c>
      <c r="G354" s="28"/>
      <c r="H354" s="28" t="str">
        <f>IF(ISNUMBER(Table810[[#This Row],[Total Capacity]]),"USBR Enterprise Asset Registry",IF(Table810[[#This Row],[Total Capacity]]="",""))</f>
        <v/>
      </c>
      <c r="I354" s="28"/>
      <c r="J354" s="28"/>
      <c r="K354" s="28"/>
      <c r="L354" s="50" t="s">
        <v>98</v>
      </c>
      <c r="M354" s="48"/>
      <c r="N354" s="50" t="s">
        <v>98</v>
      </c>
      <c r="O354" s="28"/>
      <c r="P354" s="37" t="s">
        <v>1677</v>
      </c>
      <c r="Q354" s="28" t="str">
        <f>IF(OR(Table810[[#This Row],[Post-Review Decision]]="Include", Table810[[#This Row],[Post-Review Decision]]="Include if possible", Table810[[#This Row],[Post-Review Decision]]="Include (Omit % Avg if needed)",  Table810[[#This Row],[Post-Review Decision]]="Include (Omit % Avg)"),Table810[[#This Row],[EAR Total Capacity]],"")</f>
        <v/>
      </c>
      <c r="R354" s="28"/>
      <c r="S354" s="45">
        <v>0</v>
      </c>
      <c r="T354" s="28"/>
      <c r="U354" s="28"/>
      <c r="V354" s="13" t="s">
        <v>220</v>
      </c>
      <c r="W354" s="12" t="b">
        <f>ISNUMBER(Table810[[#This Row],[EAR Total Capacity]])</f>
        <v>0</v>
      </c>
      <c r="X354" s="12" t="b">
        <f>IF(Table810[[#This Row],[Has  Storage for Full Averaging Period?]]="OK",TRUE,FALSE)</f>
        <v>0</v>
      </c>
      <c r="Y354" s="12" t="b">
        <f>IFERROR(IF(YEAR(Table810[[#This Row],[RISE Storage End Date]])=2025,TRUE,FALSE),FALSE)</f>
        <v>0</v>
      </c>
      <c r="Z354" s="11" t="b">
        <v>0</v>
      </c>
      <c r="AA354" s="13">
        <v>346</v>
      </c>
      <c r="AB354" s="13" t="s">
        <v>76</v>
      </c>
      <c r="AC354" s="13" t="s">
        <v>1678</v>
      </c>
      <c r="AD354" s="13" t="s">
        <v>1676</v>
      </c>
      <c r="AE354" s="13" t="s">
        <v>101</v>
      </c>
      <c r="AF354" s="13" t="s">
        <v>1679</v>
      </c>
      <c r="AG354" s="13" t="s">
        <v>109</v>
      </c>
      <c r="AH354" s="13" t="s">
        <v>92</v>
      </c>
      <c r="AI354" s="13" t="s">
        <v>103</v>
      </c>
      <c r="AJ354" s="13"/>
      <c r="AK354" s="15"/>
      <c r="AL354" s="15"/>
      <c r="AM354" s="15" t="s">
        <v>61</v>
      </c>
      <c r="AN354" s="15" t="s">
        <v>61</v>
      </c>
      <c r="AO354" s="15" t="s">
        <v>61</v>
      </c>
      <c r="AP354" s="15" t="s">
        <v>61</v>
      </c>
      <c r="AQ354" s="22"/>
      <c r="AR354" s="25"/>
      <c r="AS354" s="25"/>
      <c r="AT354" s="25"/>
      <c r="AU354" s="25"/>
      <c r="AV354" s="25"/>
      <c r="AW354" s="25"/>
      <c r="AX354" s="24"/>
    </row>
    <row r="355" spans="1:50" ht="16.5" customHeight="1">
      <c r="A355" s="36" t="s">
        <v>1680</v>
      </c>
      <c r="B355" s="28" t="s">
        <v>68</v>
      </c>
      <c r="C355" s="28" t="s">
        <v>86</v>
      </c>
      <c r="D355" s="28"/>
      <c r="E355" s="28" t="s">
        <v>70</v>
      </c>
      <c r="F355" s="28">
        <v>448</v>
      </c>
      <c r="G355" s="28">
        <v>3</v>
      </c>
      <c r="H355" s="28" t="str">
        <f>IF(ISNUMBER(Table810[[#This Row],[Total Capacity]]),"USBR Enterprise Asset Registry",IF(Table810[[#This Row],[Total Capacity]]="",""))</f>
        <v>USBR Enterprise Asset Registry</v>
      </c>
      <c r="I355" s="28" t="s">
        <v>57</v>
      </c>
      <c r="J355" s="28" t="s">
        <v>72</v>
      </c>
      <c r="K355" s="28"/>
      <c r="L355" s="50">
        <v>84410</v>
      </c>
      <c r="M355" s="48"/>
      <c r="N355" s="50">
        <v>84410</v>
      </c>
      <c r="O355" s="28"/>
      <c r="P355" s="37"/>
      <c r="Q355" s="28">
        <f>IF(OR(Table810[[#This Row],[Post-Review Decision]]="Include", Table810[[#This Row],[Post-Review Decision]]="Include if possible", Table810[[#This Row],[Post-Review Decision]]="Include (Omit % Avg if needed)",  Table810[[#This Row],[Post-Review Decision]]="Include (Omit % Avg)"),Table810[[#This Row],[EAR Total Capacity]],"")</f>
        <v>84410</v>
      </c>
      <c r="R355" s="28">
        <v>59396</v>
      </c>
      <c r="S355" s="46">
        <v>82980</v>
      </c>
      <c r="T355" s="28" t="s">
        <v>1680</v>
      </c>
      <c r="U355" s="28" t="s">
        <v>1681</v>
      </c>
      <c r="V355" s="13" t="s">
        <v>1682</v>
      </c>
      <c r="W355" s="12" t="b">
        <f>ISNUMBER(Table810[[#This Row],[EAR Total Capacity]])</f>
        <v>1</v>
      </c>
      <c r="X355" s="12" t="b">
        <f>IF(Table810[[#This Row],[Has  Storage for Full Averaging Period?]]="OK",TRUE,FALSE)</f>
        <v>1</v>
      </c>
      <c r="Y355" s="12" t="b">
        <f>IFERROR(IF(YEAR(Table810[[#This Row],[RISE Storage End Date]])=2025,TRUE,FALSE),FALSE)</f>
        <v>1</v>
      </c>
      <c r="Z355" s="11" t="b">
        <v>0</v>
      </c>
      <c r="AA355" s="13">
        <v>347</v>
      </c>
      <c r="AB355" s="13" t="s">
        <v>76</v>
      </c>
      <c r="AC355" s="13" t="s">
        <v>1683</v>
      </c>
      <c r="AD355" s="13" t="s">
        <v>1680</v>
      </c>
      <c r="AE355" s="13" t="s">
        <v>78</v>
      </c>
      <c r="AF355" s="13" t="s">
        <v>1684</v>
      </c>
      <c r="AG355" s="13" t="s">
        <v>91</v>
      </c>
      <c r="AH355" s="13" t="s">
        <v>102</v>
      </c>
      <c r="AI355" s="13" t="s">
        <v>93</v>
      </c>
      <c r="AJ355" s="13">
        <v>84410</v>
      </c>
      <c r="AK355" s="18"/>
      <c r="AL355" s="18"/>
      <c r="AM355" s="13" t="s">
        <v>1685</v>
      </c>
      <c r="AN355" s="13" t="s">
        <v>63</v>
      </c>
      <c r="AO355" s="13" t="s">
        <v>1680</v>
      </c>
      <c r="AP355" s="13" t="s">
        <v>1680</v>
      </c>
      <c r="AQ355" s="21" t="s">
        <v>64</v>
      </c>
      <c r="AR355" s="26">
        <v>31705</v>
      </c>
      <c r="AS355" s="26">
        <v>46007</v>
      </c>
      <c r="AT355" s="25">
        <v>14304</v>
      </c>
      <c r="AU355" s="25" t="s">
        <v>65</v>
      </c>
      <c r="AV355" s="25" t="s">
        <v>65</v>
      </c>
      <c r="AW355" s="25" t="s">
        <v>65</v>
      </c>
      <c r="AX355" s="24"/>
    </row>
    <row r="356" spans="1:50" ht="16.5" customHeight="1">
      <c r="A356" s="36" t="s">
        <v>1686</v>
      </c>
      <c r="B356" s="28" t="s">
        <v>68</v>
      </c>
      <c r="C356" s="31" t="s">
        <v>52</v>
      </c>
      <c r="D356" s="28" t="s">
        <v>125</v>
      </c>
      <c r="E356" s="28" t="s">
        <v>126</v>
      </c>
      <c r="F356" s="28">
        <v>7326</v>
      </c>
      <c r="G356" s="28">
        <v>3</v>
      </c>
      <c r="H356" s="28" t="str">
        <f>IF(ISNUMBER(Table810[[#This Row],[Total Capacity]]),"USBR Enterprise Asset Registry",IF(Table810[[#This Row],[Total Capacity]]="",""))</f>
        <v>USBR Enterprise Asset Registry</v>
      </c>
      <c r="I356" s="28" t="s">
        <v>57</v>
      </c>
      <c r="J356" s="28" t="s">
        <v>72</v>
      </c>
      <c r="K356" s="28"/>
      <c r="L356" s="50">
        <v>13602</v>
      </c>
      <c r="M356" s="48"/>
      <c r="N356" s="50">
        <v>13602</v>
      </c>
      <c r="O356" s="28"/>
      <c r="P356" s="40" t="s">
        <v>1687</v>
      </c>
      <c r="Q356" s="28">
        <f>IF(OR(Table810[[#This Row],[Post-Review Decision]]="Include", Table810[[#This Row],[Post-Review Decision]]="Include if possible", Table810[[#This Row],[Post-Review Decision]]="Include (Omit % Avg if needed)",  Table810[[#This Row],[Post-Review Decision]]="Include (Omit % Avg)"),Table810[[#This Row],[EAR Total Capacity]],"")</f>
        <v>13602</v>
      </c>
      <c r="R356" s="28">
        <v>12168</v>
      </c>
      <c r="S356" s="46">
        <v>12708</v>
      </c>
      <c r="T356" s="28" t="s">
        <v>1686</v>
      </c>
      <c r="U356" s="28" t="s">
        <v>1688</v>
      </c>
      <c r="V356" s="13" t="s">
        <v>1689</v>
      </c>
      <c r="W356" s="12" t="b">
        <f>ISNUMBER(Table810[[#This Row],[EAR Total Capacity]])</f>
        <v>1</v>
      </c>
      <c r="X356" s="12" t="b">
        <f>IF(Table810[[#This Row],[Has  Storage for Full Averaging Period?]]="OK",TRUE,FALSE)</f>
        <v>0</v>
      </c>
      <c r="Y356" s="12" t="b">
        <f>IFERROR(IF(YEAR(Table810[[#This Row],[RISE Storage End Date]])=2025,TRUE,FALSE),FALSE)</f>
        <v>0</v>
      </c>
      <c r="Z356" s="11" t="b">
        <v>0</v>
      </c>
      <c r="AA356" s="13">
        <v>348</v>
      </c>
      <c r="AB356" s="13" t="s">
        <v>76</v>
      </c>
      <c r="AC356" s="13" t="s">
        <v>1690</v>
      </c>
      <c r="AD356" s="13" t="s">
        <v>1686</v>
      </c>
      <c r="AE356" s="13" t="s">
        <v>78</v>
      </c>
      <c r="AF356" s="13" t="s">
        <v>1691</v>
      </c>
      <c r="AG356" s="13" t="s">
        <v>91</v>
      </c>
      <c r="AH356" s="13" t="s">
        <v>102</v>
      </c>
      <c r="AI356" s="13" t="s">
        <v>93</v>
      </c>
      <c r="AJ356" s="13">
        <v>13602</v>
      </c>
      <c r="AK356" s="15">
        <v>-107.7595</v>
      </c>
      <c r="AL356" s="15">
        <v>39.627899999999997</v>
      </c>
      <c r="AM356" s="15" t="s">
        <v>61</v>
      </c>
      <c r="AN356" s="15" t="s">
        <v>61</v>
      </c>
      <c r="AO356" s="15" t="s">
        <v>61</v>
      </c>
      <c r="AP356" s="15" t="s">
        <v>61</v>
      </c>
      <c r="AQ356" s="21" t="s">
        <v>136</v>
      </c>
      <c r="AR356" s="25"/>
      <c r="AS356" s="25"/>
      <c r="AT356" s="25"/>
      <c r="AU356" s="25"/>
      <c r="AV356" s="25"/>
      <c r="AW356" s="25"/>
      <c r="AX356" s="24"/>
    </row>
    <row r="357" spans="1:50" ht="16.5" customHeight="1">
      <c r="A357" s="36" t="s">
        <v>1692</v>
      </c>
      <c r="B357" s="28" t="s">
        <v>68</v>
      </c>
      <c r="C357" s="28" t="s">
        <v>69</v>
      </c>
      <c r="D357" s="28"/>
      <c r="E357" s="28" t="s">
        <v>70</v>
      </c>
      <c r="F357" s="28">
        <v>7196</v>
      </c>
      <c r="G357" s="28">
        <v>3</v>
      </c>
      <c r="H357" s="28" t="str">
        <f>IF(ISNUMBER(Table810[[#This Row],[Total Capacity]]),"USBR Enterprise Asset Registry",IF(Table810[[#This Row],[Total Capacity]]="",""))</f>
        <v>USBR Enterprise Asset Registry</v>
      </c>
      <c r="I357" s="28" t="s">
        <v>71</v>
      </c>
      <c r="J357" s="28" t="s">
        <v>72</v>
      </c>
      <c r="K357" s="28"/>
      <c r="L357" s="50">
        <v>198000</v>
      </c>
      <c r="M357" s="48"/>
      <c r="N357" s="50">
        <v>198000</v>
      </c>
      <c r="O357" s="28"/>
      <c r="P357" s="37"/>
      <c r="Q357" s="28">
        <f>IF(OR(Table810[[#This Row],[Post-Review Decision]]="Include", Table810[[#This Row],[Post-Review Decision]]="Include if possible", Table810[[#This Row],[Post-Review Decision]]="Include (Omit % Avg if needed)",  Table810[[#This Row],[Post-Review Decision]]="Include (Omit % Avg)"),Table810[[#This Row],[EAR Total Capacity]],"")</f>
        <v>198000</v>
      </c>
      <c r="R357" s="28">
        <v>198000</v>
      </c>
      <c r="S357" s="45">
        <v>0</v>
      </c>
      <c r="T357" s="28" t="s">
        <v>1693</v>
      </c>
      <c r="U357" s="28" t="s">
        <v>1694</v>
      </c>
      <c r="V357" s="13" t="s">
        <v>385</v>
      </c>
      <c r="W357" s="12" t="b">
        <f>ISNUMBER(Table810[[#This Row],[EAR Total Capacity]])</f>
        <v>1</v>
      </c>
      <c r="X357" s="12" t="s">
        <v>75</v>
      </c>
      <c r="Y357" s="12" t="b">
        <f>IFERROR(IF(YEAR(Table810[[#This Row],[RISE Storage End Date]])=2025,TRUE,FALSE),FALSE)</f>
        <v>0</v>
      </c>
      <c r="Z357" s="11" t="b">
        <v>0</v>
      </c>
      <c r="AA357" s="13">
        <v>349</v>
      </c>
      <c r="AB357" s="13" t="s">
        <v>76</v>
      </c>
      <c r="AC357" s="13" t="s">
        <v>1695</v>
      </c>
      <c r="AD357" s="13" t="s">
        <v>1692</v>
      </c>
      <c r="AE357" s="13" t="s">
        <v>78</v>
      </c>
      <c r="AF357" s="13" t="s">
        <v>1696</v>
      </c>
      <c r="AG357" s="13" t="s">
        <v>80</v>
      </c>
      <c r="AH357" s="13" t="s">
        <v>81</v>
      </c>
      <c r="AI357" s="13" t="s">
        <v>93</v>
      </c>
      <c r="AJ357" s="19">
        <v>198000</v>
      </c>
      <c r="AK357" s="18"/>
      <c r="AL357" s="18"/>
      <c r="AM357" s="13" t="s">
        <v>1697</v>
      </c>
      <c r="AN357" s="13" t="s">
        <v>246</v>
      </c>
      <c r="AO357" s="13" t="s">
        <v>1692</v>
      </c>
      <c r="AP357" s="13" t="s">
        <v>1698</v>
      </c>
      <c r="AQ357" s="21" t="s">
        <v>64</v>
      </c>
      <c r="AR357" s="25"/>
      <c r="AS357" s="25"/>
      <c r="AT357" s="25"/>
      <c r="AU357" s="25"/>
      <c r="AV357" s="25"/>
      <c r="AW357" s="25"/>
      <c r="AX357" s="24"/>
    </row>
    <row r="358" spans="1:50" ht="16.5" customHeight="1">
      <c r="A358" s="36" t="s">
        <v>1699</v>
      </c>
      <c r="B358" s="28" t="s">
        <v>68</v>
      </c>
      <c r="C358" s="28" t="s">
        <v>69</v>
      </c>
      <c r="D358" s="28"/>
      <c r="E358" s="28" t="s">
        <v>70</v>
      </c>
      <c r="F358" s="28">
        <v>7197</v>
      </c>
      <c r="G358" s="28">
        <v>3</v>
      </c>
      <c r="H358" s="28" t="str">
        <f>IF(ISNUMBER(Table810[[#This Row],[Total Capacity]]),"USBR Enterprise Asset Registry",IF(Table810[[#This Row],[Total Capacity]]="",""))</f>
        <v>USBR Enterprise Asset Registry</v>
      </c>
      <c r="I358" s="28" t="s">
        <v>71</v>
      </c>
      <c r="J358" s="28" t="s">
        <v>127</v>
      </c>
      <c r="K358" s="28">
        <v>10000</v>
      </c>
      <c r="L358" s="50">
        <v>80500</v>
      </c>
      <c r="M358" s="48"/>
      <c r="N358" s="50">
        <v>80500</v>
      </c>
      <c r="O358" s="28"/>
      <c r="P358" s="37"/>
      <c r="Q358" s="28">
        <f>IF(OR(Table810[[#This Row],[Post-Review Decision]]="Include", Table810[[#This Row],[Post-Review Decision]]="Include if possible", Table810[[#This Row],[Post-Review Decision]]="Include (Omit % Avg if needed)",  Table810[[#This Row],[Post-Review Decision]]="Include (Omit % Avg)"),Table810[[#This Row],[EAR Total Capacity]],"")</f>
        <v>100500</v>
      </c>
      <c r="R358" s="28">
        <v>90500</v>
      </c>
      <c r="S358" s="46">
        <v>96500</v>
      </c>
      <c r="T358" s="28" t="s">
        <v>1699</v>
      </c>
      <c r="U358" s="28" t="s">
        <v>1700</v>
      </c>
      <c r="V358" s="13" t="s">
        <v>1701</v>
      </c>
      <c r="W358" s="12" t="b">
        <f>ISNUMBER(Table810[[#This Row],[EAR Total Capacity]])</f>
        <v>1</v>
      </c>
      <c r="X358" s="12" t="s">
        <v>75</v>
      </c>
      <c r="Y358" s="12" t="b">
        <f>IFERROR(IF(YEAR(Table810[[#This Row],[RISE Storage End Date]])=2025,TRUE,FALSE),FALSE)</f>
        <v>0</v>
      </c>
      <c r="Z358" s="11" t="b">
        <v>0</v>
      </c>
      <c r="AA358" s="13">
        <v>350</v>
      </c>
      <c r="AB358" s="13" t="s">
        <v>76</v>
      </c>
      <c r="AC358" s="13" t="s">
        <v>1702</v>
      </c>
      <c r="AD358" s="13" t="s">
        <v>1699</v>
      </c>
      <c r="AE358" s="13" t="s">
        <v>78</v>
      </c>
      <c r="AF358" s="13" t="s">
        <v>1703</v>
      </c>
      <c r="AG358" s="13" t="s">
        <v>80</v>
      </c>
      <c r="AH358" s="13" t="s">
        <v>81</v>
      </c>
      <c r="AI358" s="13" t="s">
        <v>93</v>
      </c>
      <c r="AJ358" s="19">
        <v>100500</v>
      </c>
      <c r="AK358" s="18"/>
      <c r="AL358" s="18"/>
      <c r="AM358" s="13" t="s">
        <v>1704</v>
      </c>
      <c r="AN358" s="13" t="s">
        <v>84</v>
      </c>
      <c r="AO358" s="13" t="s">
        <v>1699</v>
      </c>
      <c r="AP358" s="13" t="s">
        <v>1699</v>
      </c>
      <c r="AQ358" s="21" t="s">
        <v>64</v>
      </c>
      <c r="AR358" s="25"/>
      <c r="AS358" s="25"/>
      <c r="AT358" s="25"/>
      <c r="AU358" s="25"/>
      <c r="AV358" s="25"/>
      <c r="AW358" s="25"/>
      <c r="AX358" s="24"/>
    </row>
    <row r="359" spans="1:50" ht="16.5" customHeight="1">
      <c r="A359" s="36" t="s">
        <v>1705</v>
      </c>
      <c r="B359" s="28"/>
      <c r="C359" s="28" t="s">
        <v>97</v>
      </c>
      <c r="D359" s="28"/>
      <c r="E359" s="28"/>
      <c r="F359" s="28" t="s">
        <v>61</v>
      </c>
      <c r="G359" s="28"/>
      <c r="H359" s="28" t="str">
        <f>IF(ISNUMBER(Table810[[#This Row],[Total Capacity]]),"USBR Enterprise Asset Registry",IF(Table810[[#This Row],[Total Capacity]]="",""))</f>
        <v/>
      </c>
      <c r="I359" s="28"/>
      <c r="J359" s="28"/>
      <c r="K359" s="28"/>
      <c r="L359" s="50" t="s">
        <v>98</v>
      </c>
      <c r="M359" s="48"/>
      <c r="N359" s="50" t="s">
        <v>98</v>
      </c>
      <c r="O359" s="28"/>
      <c r="P359" s="37"/>
      <c r="Q359" s="28" t="str">
        <f>IF(OR(Table810[[#This Row],[Post-Review Decision]]="Include", Table810[[#This Row],[Post-Review Decision]]="Include if possible", Table810[[#This Row],[Post-Review Decision]]="Include (Omit % Avg if needed)",  Table810[[#This Row],[Post-Review Decision]]="Include (Omit % Avg)"),Table810[[#This Row],[EAR Total Capacity]],"")</f>
        <v/>
      </c>
      <c r="R359" s="28"/>
      <c r="S359" s="45">
        <v>0</v>
      </c>
      <c r="T359" s="28"/>
      <c r="U359" s="28"/>
      <c r="V359" s="13" t="s">
        <v>460</v>
      </c>
      <c r="W359" s="12" t="b">
        <f>ISNUMBER(Table810[[#This Row],[EAR Total Capacity]])</f>
        <v>0</v>
      </c>
      <c r="X359" s="12" t="b">
        <f>IF(Table810[[#This Row],[Has  Storage for Full Averaging Period?]]="OK",TRUE,FALSE)</f>
        <v>0</v>
      </c>
      <c r="Y359" s="12" t="b">
        <f>IFERROR(IF(YEAR(Table810[[#This Row],[RISE Storage End Date]])=2025,TRUE,FALSE),FALSE)</f>
        <v>0</v>
      </c>
      <c r="Z359" s="11" t="b">
        <v>0</v>
      </c>
      <c r="AA359" s="13">
        <v>351</v>
      </c>
      <c r="AB359" s="13" t="s">
        <v>76</v>
      </c>
      <c r="AC359" s="13" t="s">
        <v>1706</v>
      </c>
      <c r="AD359" s="13" t="s">
        <v>1705</v>
      </c>
      <c r="AE359" s="13" t="s">
        <v>101</v>
      </c>
      <c r="AF359" s="13" t="s">
        <v>1707</v>
      </c>
      <c r="AG359" s="13" t="s">
        <v>179</v>
      </c>
      <c r="AH359" s="13" t="s">
        <v>160</v>
      </c>
      <c r="AI359" s="13" t="s">
        <v>103</v>
      </c>
      <c r="AJ359" s="13"/>
      <c r="AK359" s="15"/>
      <c r="AL359" s="15"/>
      <c r="AM359" s="15" t="s">
        <v>61</v>
      </c>
      <c r="AN359" s="15" t="s">
        <v>61</v>
      </c>
      <c r="AO359" s="15" t="s">
        <v>61</v>
      </c>
      <c r="AP359" s="15" t="s">
        <v>61</v>
      </c>
      <c r="AQ359" s="22"/>
      <c r="AR359" s="25"/>
      <c r="AS359" s="25"/>
      <c r="AT359" s="25"/>
      <c r="AU359" s="25"/>
      <c r="AV359" s="25"/>
      <c r="AW359" s="25"/>
      <c r="AX359" s="24"/>
    </row>
    <row r="360" spans="1:50" ht="16.5" customHeight="1">
      <c r="A360" s="36" t="s">
        <v>1708</v>
      </c>
      <c r="B360" s="28" t="s">
        <v>68</v>
      </c>
      <c r="C360" s="28" t="s">
        <v>86</v>
      </c>
      <c r="D360" s="28"/>
      <c r="E360" s="28" t="s">
        <v>70</v>
      </c>
      <c r="F360" s="28">
        <v>453</v>
      </c>
      <c r="G360" s="28">
        <v>3</v>
      </c>
      <c r="H360" s="28" t="str">
        <f>IF(ISNUMBER(Table810[[#This Row],[Total Capacity]]),"USBR Enterprise Asset Registry",IF(Table810[[#This Row],[Total Capacity]]="",""))</f>
        <v>USBR Enterprise Asset Registry</v>
      </c>
      <c r="I360" s="28" t="s">
        <v>257</v>
      </c>
      <c r="J360" s="28" t="s">
        <v>72</v>
      </c>
      <c r="K360" s="28"/>
      <c r="L360" s="50">
        <v>61274</v>
      </c>
      <c r="M360" s="51">
        <v>60860</v>
      </c>
      <c r="N360" s="50">
        <v>60860</v>
      </c>
      <c r="O360" s="28"/>
      <c r="P360" s="37"/>
      <c r="Q360" s="28">
        <f>IF(OR(Table810[[#This Row],[Post-Review Decision]]="Include", Table810[[#This Row],[Post-Review Decision]]="Include if possible", Table810[[#This Row],[Post-Review Decision]]="Include (Omit % Avg if needed)",  Table810[[#This Row],[Post-Review Decision]]="Include (Omit % Avg)"),Table810[[#This Row],[EAR Total Capacity]],"")</f>
        <v>62120</v>
      </c>
      <c r="R360" s="28">
        <v>55179</v>
      </c>
      <c r="S360" s="46">
        <v>61274</v>
      </c>
      <c r="T360" s="28" t="s">
        <v>1709</v>
      </c>
      <c r="U360" s="28" t="s">
        <v>1710</v>
      </c>
      <c r="V360" s="13" t="s">
        <v>465</v>
      </c>
      <c r="W360" s="12" t="b">
        <f>ISNUMBER(Table810[[#This Row],[EAR Total Capacity]])</f>
        <v>1</v>
      </c>
      <c r="X360" s="12" t="b">
        <f>IF(Table810[[#This Row],[Has  Storage for Full Averaging Period?]]="OK",TRUE,FALSE)</f>
        <v>1</v>
      </c>
      <c r="Y360" s="12" t="b">
        <f>IFERROR(IF(YEAR(Table810[[#This Row],[RISE Storage End Date]])=2025,TRUE,FALSE),FALSE)</f>
        <v>1</v>
      </c>
      <c r="Z360" s="11" t="b">
        <v>0</v>
      </c>
      <c r="AA360" s="13">
        <v>352</v>
      </c>
      <c r="AB360" s="13" t="s">
        <v>76</v>
      </c>
      <c r="AC360" s="13" t="s">
        <v>1711</v>
      </c>
      <c r="AD360" s="13" t="s">
        <v>1708</v>
      </c>
      <c r="AE360" s="13" t="s">
        <v>78</v>
      </c>
      <c r="AF360" s="13" t="s">
        <v>1712</v>
      </c>
      <c r="AG360" s="13" t="s">
        <v>91</v>
      </c>
      <c r="AH360" s="13" t="s">
        <v>102</v>
      </c>
      <c r="AI360" s="13" t="s">
        <v>93</v>
      </c>
      <c r="AJ360" s="13">
        <v>62120</v>
      </c>
      <c r="AK360" s="18"/>
      <c r="AL360" s="18"/>
      <c r="AM360" s="13" t="s">
        <v>1713</v>
      </c>
      <c r="AN360" s="13" t="s">
        <v>63</v>
      </c>
      <c r="AO360" s="13" t="s">
        <v>1708</v>
      </c>
      <c r="AP360" s="13" t="s">
        <v>1714</v>
      </c>
      <c r="AQ360" s="21" t="s">
        <v>64</v>
      </c>
      <c r="AR360" s="26">
        <v>25112</v>
      </c>
      <c r="AS360" s="26">
        <v>46007</v>
      </c>
      <c r="AT360" s="25">
        <v>20897</v>
      </c>
      <c r="AU360" s="25" t="s">
        <v>65</v>
      </c>
      <c r="AV360" s="25" t="s">
        <v>65</v>
      </c>
      <c r="AW360" s="25" t="s">
        <v>65</v>
      </c>
      <c r="AX360" s="24"/>
    </row>
    <row r="361" spans="1:50" ht="16.5" customHeight="1">
      <c r="A361" s="36" t="s">
        <v>1715</v>
      </c>
      <c r="B361" s="28"/>
      <c r="C361" s="28" t="s">
        <v>97</v>
      </c>
      <c r="D361" s="28"/>
      <c r="E361" s="28"/>
      <c r="F361" s="28" t="s">
        <v>61</v>
      </c>
      <c r="G361" s="28"/>
      <c r="H361" s="28" t="str">
        <f>IF(ISNUMBER(Table810[[#This Row],[Total Capacity]]),"USBR Enterprise Asset Registry",IF(Table810[[#This Row],[Total Capacity]]="",""))</f>
        <v/>
      </c>
      <c r="I361" s="28"/>
      <c r="J361" s="28"/>
      <c r="K361" s="28"/>
      <c r="L361" s="50" t="s">
        <v>98</v>
      </c>
      <c r="M361" s="48"/>
      <c r="N361" s="50" t="s">
        <v>98</v>
      </c>
      <c r="O361" s="28"/>
      <c r="P361" s="37"/>
      <c r="Q361" s="28" t="str">
        <f>IF(OR(Table810[[#This Row],[Post-Review Decision]]="Include", Table810[[#This Row],[Post-Review Decision]]="Include if possible", Table810[[#This Row],[Post-Review Decision]]="Include (Omit % Avg if needed)",  Table810[[#This Row],[Post-Review Decision]]="Include (Omit % Avg)"),Table810[[#This Row],[EAR Total Capacity]],"")</f>
        <v/>
      </c>
      <c r="R361" s="28"/>
      <c r="S361" s="45">
        <v>0</v>
      </c>
      <c r="T361" s="28"/>
      <c r="U361" s="28"/>
      <c r="V361" s="13" t="s">
        <v>385</v>
      </c>
      <c r="W361" s="12" t="b">
        <f>ISNUMBER(Table810[[#This Row],[EAR Total Capacity]])</f>
        <v>0</v>
      </c>
      <c r="X361" s="12" t="b">
        <f>IF(Table810[[#This Row],[Has  Storage for Full Averaging Period?]]="OK",TRUE,FALSE)</f>
        <v>0</v>
      </c>
      <c r="Y361" s="12" t="b">
        <f>IFERROR(IF(YEAR(Table810[[#This Row],[RISE Storage End Date]])=2025,TRUE,FALSE),FALSE)</f>
        <v>0</v>
      </c>
      <c r="Z361" s="11" t="b">
        <v>0</v>
      </c>
      <c r="AA361" s="13">
        <v>353</v>
      </c>
      <c r="AB361" s="13" t="s">
        <v>76</v>
      </c>
      <c r="AC361" s="13" t="s">
        <v>1716</v>
      </c>
      <c r="AD361" s="13" t="s">
        <v>1715</v>
      </c>
      <c r="AE361" s="13" t="s">
        <v>78</v>
      </c>
      <c r="AF361" s="13" t="s">
        <v>1717</v>
      </c>
      <c r="AG361" s="13" t="s">
        <v>80</v>
      </c>
      <c r="AH361" s="13" t="s">
        <v>81</v>
      </c>
      <c r="AI361" s="13" t="s">
        <v>103</v>
      </c>
      <c r="AJ361" s="13"/>
      <c r="AK361" s="15"/>
      <c r="AL361" s="15"/>
      <c r="AM361" s="15" t="s">
        <v>61</v>
      </c>
      <c r="AN361" s="15" t="s">
        <v>61</v>
      </c>
      <c r="AO361" s="15" t="s">
        <v>61</v>
      </c>
      <c r="AP361" s="15" t="s">
        <v>61</v>
      </c>
      <c r="AQ361" s="21" t="s">
        <v>136</v>
      </c>
      <c r="AR361" s="25"/>
      <c r="AS361" s="25"/>
      <c r="AT361" s="25"/>
      <c r="AU361" s="25"/>
      <c r="AV361" s="25"/>
      <c r="AW361" s="25"/>
      <c r="AX361" s="24"/>
    </row>
    <row r="362" spans="1:50" ht="16.5" customHeight="1">
      <c r="A362" s="36" t="s">
        <v>1718</v>
      </c>
      <c r="B362" s="28"/>
      <c r="C362" s="28" t="s">
        <v>97</v>
      </c>
      <c r="D362" s="28"/>
      <c r="E362" s="28"/>
      <c r="F362" s="28" t="s">
        <v>61</v>
      </c>
      <c r="G362" s="28"/>
      <c r="H362" s="28" t="str">
        <f>IF(ISNUMBER(Table810[[#This Row],[Total Capacity]]),"USBR Enterprise Asset Registry",IF(Table810[[#This Row],[Total Capacity]]="",""))</f>
        <v/>
      </c>
      <c r="I362" s="28"/>
      <c r="J362" s="28"/>
      <c r="K362" s="28"/>
      <c r="L362" s="50" t="s">
        <v>98</v>
      </c>
      <c r="M362" s="48"/>
      <c r="N362" s="50" t="s">
        <v>98</v>
      </c>
      <c r="O362" s="28"/>
      <c r="P362" s="37"/>
      <c r="Q362" s="28" t="str">
        <f>IF(OR(Table810[[#This Row],[Post-Review Decision]]="Include", Table810[[#This Row],[Post-Review Decision]]="Include if possible", Table810[[#This Row],[Post-Review Decision]]="Include (Omit % Avg if needed)",  Table810[[#This Row],[Post-Review Decision]]="Include (Omit % Avg)"),Table810[[#This Row],[EAR Total Capacity]],"")</f>
        <v/>
      </c>
      <c r="R362" s="28"/>
      <c r="S362" s="45">
        <v>0</v>
      </c>
      <c r="T362" s="28"/>
      <c r="U362" s="28"/>
      <c r="V362" s="13" t="s">
        <v>1207</v>
      </c>
      <c r="W362" s="12" t="b">
        <f>ISNUMBER(Table810[[#This Row],[EAR Total Capacity]])</f>
        <v>0</v>
      </c>
      <c r="X362" s="12" t="b">
        <f>IF(Table810[[#This Row],[Has  Storage for Full Averaging Period?]]="OK",TRUE,FALSE)</f>
        <v>0</v>
      </c>
      <c r="Y362" s="12" t="b">
        <f>IFERROR(IF(YEAR(Table810[[#This Row],[RISE Storage End Date]])=2025,TRUE,FALSE),FALSE)</f>
        <v>0</v>
      </c>
      <c r="Z362" s="11" t="b">
        <v>0</v>
      </c>
      <c r="AA362" s="13">
        <v>354</v>
      </c>
      <c r="AB362" s="13" t="s">
        <v>76</v>
      </c>
      <c r="AC362" s="13" t="s">
        <v>1719</v>
      </c>
      <c r="AD362" s="13" t="s">
        <v>1718</v>
      </c>
      <c r="AE362" s="13" t="s">
        <v>101</v>
      </c>
      <c r="AF362" s="13" t="s">
        <v>1720</v>
      </c>
      <c r="AG362" s="13" t="s">
        <v>159</v>
      </c>
      <c r="AH362" s="13" t="s">
        <v>160</v>
      </c>
      <c r="AI362" s="13" t="s">
        <v>356</v>
      </c>
      <c r="AJ362" s="13"/>
      <c r="AK362" s="15"/>
      <c r="AL362" s="15"/>
      <c r="AM362" s="15" t="s">
        <v>61</v>
      </c>
      <c r="AN362" s="15" t="s">
        <v>61</v>
      </c>
      <c r="AO362" s="15" t="s">
        <v>61</v>
      </c>
      <c r="AP362" s="15" t="s">
        <v>61</v>
      </c>
      <c r="AQ362" s="22"/>
      <c r="AR362" s="25"/>
      <c r="AS362" s="25"/>
      <c r="AT362" s="25"/>
      <c r="AU362" s="25"/>
      <c r="AV362" s="25"/>
      <c r="AW362" s="25"/>
      <c r="AX362" s="24"/>
    </row>
    <row r="363" spans="1:50" ht="16.5" customHeight="1">
      <c r="A363" s="36" t="s">
        <v>1721</v>
      </c>
      <c r="B363" s="28" t="s">
        <v>68</v>
      </c>
      <c r="C363" s="28" t="s">
        <v>86</v>
      </c>
      <c r="D363" s="28"/>
      <c r="E363" s="28" t="s">
        <v>70</v>
      </c>
      <c r="F363" s="28">
        <v>456</v>
      </c>
      <c r="G363" s="28">
        <v>3</v>
      </c>
      <c r="H363" s="28" t="str">
        <f>IF(ISNUMBER(Table810[[#This Row],[Total Capacity]]),"USBR Enterprise Asset Registry",IF(Table810[[#This Row],[Total Capacity]]="",""))</f>
        <v>USBR Enterprise Asset Registry</v>
      </c>
      <c r="I363" s="28" t="s">
        <v>57</v>
      </c>
      <c r="J363" s="28" t="s">
        <v>72</v>
      </c>
      <c r="K363" s="28"/>
      <c r="L363" s="50">
        <v>102373</v>
      </c>
      <c r="M363" s="48"/>
      <c r="N363" s="50">
        <v>102373</v>
      </c>
      <c r="O363" s="28"/>
      <c r="P363" s="37"/>
      <c r="Q363" s="28">
        <f>IF(OR(Table810[[#This Row],[Post-Review Decision]]="Include", Table810[[#This Row],[Post-Review Decision]]="Include if possible", Table810[[#This Row],[Post-Review Decision]]="Include (Omit % Avg if needed)",  Table810[[#This Row],[Post-Review Decision]]="Include (Omit % Avg)"),Table810[[#This Row],[EAR Total Capacity]],"")</f>
        <v>102373</v>
      </c>
      <c r="R363" s="28">
        <v>101278</v>
      </c>
      <c r="S363" s="46">
        <v>102310</v>
      </c>
      <c r="T363" s="28" t="s">
        <v>1721</v>
      </c>
      <c r="U363" s="28" t="s">
        <v>1722</v>
      </c>
      <c r="V363" s="13" t="s">
        <v>442</v>
      </c>
      <c r="W363" s="12" t="b">
        <f>ISNUMBER(Table810[[#This Row],[EAR Total Capacity]])</f>
        <v>1</v>
      </c>
      <c r="X363" s="12" t="b">
        <f>IF(Table810[[#This Row],[Has  Storage for Full Averaging Period?]]="OK",TRUE,FALSE)</f>
        <v>1</v>
      </c>
      <c r="Y363" s="12" t="b">
        <f>IFERROR(IF(YEAR(Table810[[#This Row],[RISE Storage End Date]])=2025,TRUE,FALSE),FALSE)</f>
        <v>1</v>
      </c>
      <c r="Z363" s="11" t="b">
        <v>0</v>
      </c>
      <c r="AA363" s="13">
        <v>355</v>
      </c>
      <c r="AB363" s="13" t="s">
        <v>76</v>
      </c>
      <c r="AC363" s="13" t="s">
        <v>1723</v>
      </c>
      <c r="AD363" s="13" t="s">
        <v>1721</v>
      </c>
      <c r="AE363" s="13" t="s">
        <v>78</v>
      </c>
      <c r="AF363" s="13" t="s">
        <v>1724</v>
      </c>
      <c r="AG363" s="13" t="s">
        <v>91</v>
      </c>
      <c r="AH363" s="13" t="s">
        <v>92</v>
      </c>
      <c r="AI363" s="13" t="s">
        <v>93</v>
      </c>
      <c r="AJ363" s="13">
        <v>102373</v>
      </c>
      <c r="AK363" s="18"/>
      <c r="AL363" s="18"/>
      <c r="AM363" s="13" t="s">
        <v>1725</v>
      </c>
      <c r="AN363" s="13" t="s">
        <v>63</v>
      </c>
      <c r="AO363" s="13" t="s">
        <v>1721</v>
      </c>
      <c r="AP363" s="13" t="s">
        <v>1721</v>
      </c>
      <c r="AQ363" s="21" t="s">
        <v>64</v>
      </c>
      <c r="AR363" s="26">
        <v>25294</v>
      </c>
      <c r="AS363" s="26">
        <v>46007</v>
      </c>
      <c r="AT363" s="25">
        <v>20804</v>
      </c>
      <c r="AU363" s="25" t="s">
        <v>65</v>
      </c>
      <c r="AV363" s="25" t="s">
        <v>65</v>
      </c>
      <c r="AW363" s="25" t="s">
        <v>65</v>
      </c>
      <c r="AX363" s="24"/>
    </row>
    <row r="364" spans="1:50" ht="16.5" customHeight="1">
      <c r="A364" s="36" t="s">
        <v>1726</v>
      </c>
      <c r="B364" s="28"/>
      <c r="C364" s="28" t="s">
        <v>97</v>
      </c>
      <c r="D364" s="28"/>
      <c r="E364" s="28"/>
      <c r="F364" s="28" t="s">
        <v>61</v>
      </c>
      <c r="G364" s="28"/>
      <c r="H364" s="28" t="str">
        <f>IF(ISNUMBER(Table810[[#This Row],[Total Capacity]]),"USBR Enterprise Asset Registry",IF(Table810[[#This Row],[Total Capacity]]="",""))</f>
        <v/>
      </c>
      <c r="I364" s="28"/>
      <c r="J364" s="28"/>
      <c r="K364" s="28"/>
      <c r="L364" s="50" t="s">
        <v>98</v>
      </c>
      <c r="M364" s="48"/>
      <c r="N364" s="50" t="s">
        <v>98</v>
      </c>
      <c r="O364" s="28"/>
      <c r="P364" s="37"/>
      <c r="Q364" s="28" t="str">
        <f>IF(OR(Table810[[#This Row],[Post-Review Decision]]="Include", Table810[[#This Row],[Post-Review Decision]]="Include if possible", Table810[[#This Row],[Post-Review Decision]]="Include (Omit % Avg if needed)",  Table810[[#This Row],[Post-Review Decision]]="Include (Omit % Avg)"),Table810[[#This Row],[EAR Total Capacity]],"")</f>
        <v/>
      </c>
      <c r="R364" s="28"/>
      <c r="S364" s="45">
        <v>0</v>
      </c>
      <c r="T364" s="28"/>
      <c r="U364" s="28"/>
      <c r="V364" s="13" t="s">
        <v>438</v>
      </c>
      <c r="W364" s="12" t="b">
        <f>ISNUMBER(Table810[[#This Row],[EAR Total Capacity]])</f>
        <v>0</v>
      </c>
      <c r="X364" s="12" t="b">
        <f>IF(Table810[[#This Row],[Has  Storage for Full Averaging Period?]]="OK",TRUE,FALSE)</f>
        <v>0</v>
      </c>
      <c r="Y364" s="12" t="b">
        <f>IFERROR(IF(YEAR(Table810[[#This Row],[RISE Storage End Date]])=2025,TRUE,FALSE),FALSE)</f>
        <v>0</v>
      </c>
      <c r="Z364" s="11" t="b">
        <v>0</v>
      </c>
      <c r="AA364" s="13">
        <v>849</v>
      </c>
      <c r="AB364" s="13" t="s">
        <v>76</v>
      </c>
      <c r="AC364" s="13" t="s">
        <v>1727</v>
      </c>
      <c r="AD364" s="13" t="s">
        <v>1726</v>
      </c>
      <c r="AE364" s="13" t="s">
        <v>78</v>
      </c>
      <c r="AF364" s="13" t="s">
        <v>1728</v>
      </c>
      <c r="AG364" s="13" t="s">
        <v>159</v>
      </c>
      <c r="AH364" s="13" t="s">
        <v>160</v>
      </c>
      <c r="AI364" s="13"/>
      <c r="AJ364" s="13"/>
      <c r="AK364" s="15"/>
      <c r="AL364" s="15"/>
      <c r="AM364" s="15" t="s">
        <v>61</v>
      </c>
      <c r="AN364" s="15" t="s">
        <v>61</v>
      </c>
      <c r="AO364" s="15" t="s">
        <v>61</v>
      </c>
      <c r="AP364" s="15" t="s">
        <v>61</v>
      </c>
      <c r="AQ364" s="21" t="s">
        <v>136</v>
      </c>
      <c r="AR364" s="25"/>
      <c r="AS364" s="25"/>
      <c r="AT364" s="25"/>
      <c r="AU364" s="25"/>
      <c r="AV364" s="25"/>
      <c r="AW364" s="25"/>
      <c r="AX364" s="24"/>
    </row>
    <row r="365" spans="1:50" ht="16.5" customHeight="1">
      <c r="A365" s="36" t="s">
        <v>1729</v>
      </c>
      <c r="B365" s="28"/>
      <c r="C365" s="28" t="s">
        <v>97</v>
      </c>
      <c r="D365" s="28"/>
      <c r="E365" s="28"/>
      <c r="F365" s="28" t="s">
        <v>61</v>
      </c>
      <c r="G365" s="28"/>
      <c r="H365" s="28" t="str">
        <f>IF(ISNUMBER(Table810[[#This Row],[Total Capacity]]),"USBR Enterprise Asset Registry",IF(Table810[[#This Row],[Total Capacity]]="",""))</f>
        <v/>
      </c>
      <c r="I365" s="28"/>
      <c r="J365" s="28"/>
      <c r="K365" s="28"/>
      <c r="L365" s="50" t="s">
        <v>98</v>
      </c>
      <c r="M365" s="48"/>
      <c r="N365" s="50" t="s">
        <v>98</v>
      </c>
      <c r="O365" s="28"/>
      <c r="P365" s="37"/>
      <c r="Q365" s="28" t="str">
        <f>IF(OR(Table810[[#This Row],[Post-Review Decision]]="Include", Table810[[#This Row],[Post-Review Decision]]="Include if possible", Table810[[#This Row],[Post-Review Decision]]="Include (Omit % Avg if needed)",  Table810[[#This Row],[Post-Review Decision]]="Include (Omit % Avg)"),Table810[[#This Row],[EAR Total Capacity]],"")</f>
        <v/>
      </c>
      <c r="R365" s="28"/>
      <c r="S365" s="45">
        <v>0</v>
      </c>
      <c r="T365" s="28"/>
      <c r="U365" s="28"/>
      <c r="V365" s="13" t="s">
        <v>438</v>
      </c>
      <c r="W365" s="12" t="b">
        <f>ISNUMBER(Table810[[#This Row],[EAR Total Capacity]])</f>
        <v>0</v>
      </c>
      <c r="X365" s="12" t="b">
        <f>IF(Table810[[#This Row],[Has  Storage for Full Averaging Period?]]="OK",TRUE,FALSE)</f>
        <v>0</v>
      </c>
      <c r="Y365" s="12" t="b">
        <f>IFERROR(IF(YEAR(Table810[[#This Row],[RISE Storage End Date]])=2025,TRUE,FALSE),FALSE)</f>
        <v>0</v>
      </c>
      <c r="Z365" s="11" t="b">
        <v>0</v>
      </c>
      <c r="AA365" s="13">
        <v>850</v>
      </c>
      <c r="AB365" s="13" t="s">
        <v>76</v>
      </c>
      <c r="AC365" s="13" t="s">
        <v>1730</v>
      </c>
      <c r="AD365" s="13" t="s">
        <v>1729</v>
      </c>
      <c r="AE365" s="13" t="s">
        <v>78</v>
      </c>
      <c r="AF365" s="13" t="s">
        <v>1731</v>
      </c>
      <c r="AG365" s="13" t="s">
        <v>159</v>
      </c>
      <c r="AH365" s="13" t="s">
        <v>160</v>
      </c>
      <c r="AI365" s="13"/>
      <c r="AJ365" s="13"/>
      <c r="AK365" s="15"/>
      <c r="AL365" s="15"/>
      <c r="AM365" s="15" t="s">
        <v>61</v>
      </c>
      <c r="AN365" s="15" t="s">
        <v>61</v>
      </c>
      <c r="AO365" s="15" t="s">
        <v>61</v>
      </c>
      <c r="AP365" s="15" t="s">
        <v>61</v>
      </c>
      <c r="AQ365" s="21" t="s">
        <v>136</v>
      </c>
      <c r="AR365" s="25"/>
      <c r="AS365" s="25"/>
      <c r="AT365" s="25"/>
      <c r="AU365" s="25"/>
      <c r="AV365" s="25"/>
      <c r="AW365" s="25"/>
      <c r="AX365" s="24"/>
    </row>
    <row r="366" spans="1:50" ht="16.5" customHeight="1">
      <c r="A366" s="36" t="s">
        <v>1732</v>
      </c>
      <c r="B366" s="28"/>
      <c r="C366" s="28" t="s">
        <v>97</v>
      </c>
      <c r="D366" s="28"/>
      <c r="E366" s="28"/>
      <c r="F366" s="28" t="s">
        <v>61</v>
      </c>
      <c r="G366" s="28"/>
      <c r="H366" s="28" t="str">
        <f>IF(ISNUMBER(Table810[[#This Row],[Total Capacity]]),"USBR Enterprise Asset Registry",IF(Table810[[#This Row],[Total Capacity]]="",""))</f>
        <v/>
      </c>
      <c r="I366" s="28"/>
      <c r="J366" s="28"/>
      <c r="K366" s="28"/>
      <c r="L366" s="50" t="s">
        <v>98</v>
      </c>
      <c r="M366" s="48"/>
      <c r="N366" s="50" t="s">
        <v>98</v>
      </c>
      <c r="O366" s="28"/>
      <c r="P366" s="37"/>
      <c r="Q366" s="28" t="str">
        <f>IF(OR(Table810[[#This Row],[Post-Review Decision]]="Include", Table810[[#This Row],[Post-Review Decision]]="Include if possible", Table810[[#This Row],[Post-Review Decision]]="Include (Omit % Avg if needed)",  Table810[[#This Row],[Post-Review Decision]]="Include (Omit % Avg)"),Table810[[#This Row],[EAR Total Capacity]],"")</f>
        <v/>
      </c>
      <c r="R366" s="28"/>
      <c r="S366" s="45">
        <v>68800</v>
      </c>
      <c r="T366" s="28"/>
      <c r="U366" s="28"/>
      <c r="V366" s="13" t="s">
        <v>176</v>
      </c>
      <c r="W366" s="12" t="b">
        <f>ISNUMBER(Table810[[#This Row],[EAR Total Capacity]])</f>
        <v>1</v>
      </c>
      <c r="X366" s="12" t="b">
        <f>IF(Table810[[#This Row],[Has  Storage for Full Averaging Period?]]="OK",TRUE,FALSE)</f>
        <v>0</v>
      </c>
      <c r="Y366" s="12" t="b">
        <f>IFERROR(IF(YEAR(Table810[[#This Row],[RISE Storage End Date]])=2025,TRUE,FALSE),FALSE)</f>
        <v>0</v>
      </c>
      <c r="Z366" s="11" t="b">
        <v>0</v>
      </c>
      <c r="AA366" s="13">
        <v>357</v>
      </c>
      <c r="AB366" s="13" t="s">
        <v>76</v>
      </c>
      <c r="AC366" s="13" t="s">
        <v>1733</v>
      </c>
      <c r="AD366" s="13" t="s">
        <v>1732</v>
      </c>
      <c r="AE366" s="13" t="s">
        <v>78</v>
      </c>
      <c r="AF366" s="13" t="s">
        <v>1734</v>
      </c>
      <c r="AG366" s="13" t="s">
        <v>179</v>
      </c>
      <c r="AH366" s="13" t="s">
        <v>180</v>
      </c>
      <c r="AI366" s="13" t="s">
        <v>93</v>
      </c>
      <c r="AJ366" s="13">
        <v>68800</v>
      </c>
      <c r="AK366" s="15"/>
      <c r="AL366" s="15"/>
      <c r="AM366" s="15" t="s">
        <v>61</v>
      </c>
      <c r="AN366" s="15" t="s">
        <v>61</v>
      </c>
      <c r="AO366" s="15" t="s">
        <v>61</v>
      </c>
      <c r="AP366" s="15" t="s">
        <v>61</v>
      </c>
      <c r="AQ366" s="21" t="s">
        <v>136</v>
      </c>
      <c r="AR366" s="25"/>
      <c r="AS366" s="25"/>
      <c r="AT366" s="25"/>
      <c r="AU366" s="25"/>
      <c r="AV366" s="25"/>
      <c r="AW366" s="25"/>
      <c r="AX366" s="24"/>
    </row>
    <row r="367" spans="1:50" ht="16.5" customHeight="1">
      <c r="A367" s="36" t="s">
        <v>1735</v>
      </c>
      <c r="B367" s="28"/>
      <c r="C367" s="28" t="s">
        <v>97</v>
      </c>
      <c r="D367" s="28"/>
      <c r="E367" s="28"/>
      <c r="F367" s="28" t="s">
        <v>61</v>
      </c>
      <c r="G367" s="28"/>
      <c r="H367" s="28" t="str">
        <f>IF(ISNUMBER(Table810[[#This Row],[Total Capacity]]),"USBR Enterprise Asset Registry",IF(Table810[[#This Row],[Total Capacity]]="",""))</f>
        <v/>
      </c>
      <c r="I367" s="28"/>
      <c r="J367" s="28"/>
      <c r="K367" s="28"/>
      <c r="L367" s="50" t="s">
        <v>98</v>
      </c>
      <c r="M367" s="48"/>
      <c r="N367" s="50" t="s">
        <v>98</v>
      </c>
      <c r="O367" s="28"/>
      <c r="P367" s="37"/>
      <c r="Q367" s="28" t="str">
        <f>IF(OR(Table810[[#This Row],[Post-Review Decision]]="Include", Table810[[#This Row],[Post-Review Decision]]="Include if possible", Table810[[#This Row],[Post-Review Decision]]="Include (Omit % Avg if needed)",  Table810[[#This Row],[Post-Review Decision]]="Include (Omit % Avg)"),Table810[[#This Row],[EAR Total Capacity]],"")</f>
        <v/>
      </c>
      <c r="R367" s="28"/>
      <c r="S367" s="45">
        <v>0</v>
      </c>
      <c r="T367" s="28"/>
      <c r="U367" s="28"/>
      <c r="V367" s="13" t="s">
        <v>656</v>
      </c>
      <c r="W367" s="12" t="b">
        <f>ISNUMBER(Table810[[#This Row],[EAR Total Capacity]])</f>
        <v>0</v>
      </c>
      <c r="X367" s="12" t="b">
        <f>IF(Table810[[#This Row],[Has  Storage for Full Averaging Period?]]="OK",TRUE,FALSE)</f>
        <v>0</v>
      </c>
      <c r="Y367" s="12" t="b">
        <f>IFERROR(IF(YEAR(Table810[[#This Row],[RISE Storage End Date]])=2025,TRUE,FALSE),FALSE)</f>
        <v>0</v>
      </c>
      <c r="Z367" s="11" t="b">
        <v>0</v>
      </c>
      <c r="AA367" s="13">
        <v>358</v>
      </c>
      <c r="AB367" s="13" t="s">
        <v>76</v>
      </c>
      <c r="AC367" s="13" t="s">
        <v>1736</v>
      </c>
      <c r="AD367" s="13" t="s">
        <v>1735</v>
      </c>
      <c r="AE367" s="13" t="s">
        <v>78</v>
      </c>
      <c r="AF367" s="13" t="s">
        <v>1737</v>
      </c>
      <c r="AG367" s="13" t="s">
        <v>109</v>
      </c>
      <c r="AH367" s="13" t="s">
        <v>92</v>
      </c>
      <c r="AI367" s="13" t="s">
        <v>103</v>
      </c>
      <c r="AJ367" s="13"/>
      <c r="AK367" s="15"/>
      <c r="AL367" s="15"/>
      <c r="AM367" s="15" t="s">
        <v>61</v>
      </c>
      <c r="AN367" s="15" t="s">
        <v>61</v>
      </c>
      <c r="AO367" s="15" t="s">
        <v>61</v>
      </c>
      <c r="AP367" s="15" t="s">
        <v>61</v>
      </c>
      <c r="AQ367" s="21" t="s">
        <v>136</v>
      </c>
      <c r="AR367" s="25"/>
      <c r="AS367" s="25"/>
      <c r="AT367" s="25"/>
      <c r="AU367" s="25"/>
      <c r="AV367" s="25"/>
      <c r="AW367" s="25"/>
      <c r="AX367" s="24"/>
    </row>
    <row r="368" spans="1:50" ht="16.5" customHeight="1">
      <c r="A368" s="36" t="s">
        <v>1738</v>
      </c>
      <c r="B368" s="28"/>
      <c r="C368" s="28" t="s">
        <v>97</v>
      </c>
      <c r="D368" s="28"/>
      <c r="E368" s="28"/>
      <c r="F368" s="28" t="s">
        <v>61</v>
      </c>
      <c r="G368" s="28"/>
      <c r="H368" s="28" t="str">
        <f>IF(ISNUMBER(Table810[[#This Row],[Total Capacity]]),"USBR Enterprise Asset Registry",IF(Table810[[#This Row],[Total Capacity]]="",""))</f>
        <v/>
      </c>
      <c r="I368" s="28"/>
      <c r="J368" s="28"/>
      <c r="K368" s="28"/>
      <c r="L368" s="50" t="s">
        <v>98</v>
      </c>
      <c r="M368" s="48"/>
      <c r="N368" s="50" t="s">
        <v>98</v>
      </c>
      <c r="O368" s="28"/>
      <c r="P368" s="37"/>
      <c r="Q368" s="28" t="str">
        <f>IF(OR(Table810[[#This Row],[Post-Review Decision]]="Include", Table810[[#This Row],[Post-Review Decision]]="Include if possible", Table810[[#This Row],[Post-Review Decision]]="Include (Omit % Avg if needed)",  Table810[[#This Row],[Post-Review Decision]]="Include (Omit % Avg)"),Table810[[#This Row],[EAR Total Capacity]],"")</f>
        <v/>
      </c>
      <c r="R368" s="28"/>
      <c r="S368" s="45">
        <v>0</v>
      </c>
      <c r="T368" s="28"/>
      <c r="U368" s="28"/>
      <c r="V368" s="13" t="s">
        <v>559</v>
      </c>
      <c r="W368" s="12" t="b">
        <f>ISNUMBER(Table810[[#This Row],[EAR Total Capacity]])</f>
        <v>0</v>
      </c>
      <c r="X368" s="12" t="b">
        <f>IF(Table810[[#This Row],[Has  Storage for Full Averaging Period?]]="OK",TRUE,FALSE)</f>
        <v>0</v>
      </c>
      <c r="Y368" s="12" t="b">
        <f>IFERROR(IF(YEAR(Table810[[#This Row],[RISE Storage End Date]])=2025,TRUE,FALSE),FALSE)</f>
        <v>0</v>
      </c>
      <c r="Z368" s="11" t="b">
        <v>0</v>
      </c>
      <c r="AA368" s="13">
        <v>359</v>
      </c>
      <c r="AB368" s="13" t="s">
        <v>76</v>
      </c>
      <c r="AC368" s="13" t="s">
        <v>1739</v>
      </c>
      <c r="AD368" s="13" t="s">
        <v>1738</v>
      </c>
      <c r="AE368" s="13" t="s">
        <v>101</v>
      </c>
      <c r="AF368" s="13" t="s">
        <v>1740</v>
      </c>
      <c r="AG368" s="13" t="s">
        <v>80</v>
      </c>
      <c r="AH368" s="13" t="s">
        <v>81</v>
      </c>
      <c r="AI368" s="13" t="s">
        <v>103</v>
      </c>
      <c r="AJ368" s="13"/>
      <c r="AK368" s="15"/>
      <c r="AL368" s="15"/>
      <c r="AM368" s="15" t="s">
        <v>61</v>
      </c>
      <c r="AN368" s="15" t="s">
        <v>61</v>
      </c>
      <c r="AO368" s="15" t="s">
        <v>61</v>
      </c>
      <c r="AP368" s="15" t="s">
        <v>61</v>
      </c>
      <c r="AQ368" s="22"/>
      <c r="AR368" s="25"/>
      <c r="AS368" s="25"/>
      <c r="AT368" s="25"/>
      <c r="AU368" s="25"/>
      <c r="AV368" s="25"/>
      <c r="AW368" s="25"/>
      <c r="AX368" s="24"/>
    </row>
    <row r="369" spans="1:50" ht="16.5" customHeight="1">
      <c r="A369" s="36" t="s">
        <v>1741</v>
      </c>
      <c r="B369" s="28"/>
      <c r="C369" s="28" t="s">
        <v>97</v>
      </c>
      <c r="D369" s="28"/>
      <c r="E369" s="28"/>
      <c r="F369" s="28">
        <v>3711</v>
      </c>
      <c r="G369" s="28"/>
      <c r="H369" s="28" t="str">
        <f>IF(ISNUMBER(Table810[[#This Row],[Total Capacity]]),"USBR Enterprise Asset Registry",IF(Table810[[#This Row],[Total Capacity]]="",""))</f>
        <v/>
      </c>
      <c r="I369" s="28"/>
      <c r="J369" s="28"/>
      <c r="K369" s="28"/>
      <c r="L369" s="50" t="s">
        <v>98</v>
      </c>
      <c r="M369" s="48"/>
      <c r="N369" s="50" t="s">
        <v>98</v>
      </c>
      <c r="O369" s="28"/>
      <c r="P369" s="37"/>
      <c r="Q369" s="28" t="str">
        <f>IF(OR(Table810[[#This Row],[Post-Review Decision]]="Include", Table810[[#This Row],[Post-Review Decision]]="Include if possible", Table810[[#This Row],[Post-Review Decision]]="Include (Omit % Avg if needed)",  Table810[[#This Row],[Post-Review Decision]]="Include (Omit % Avg)"),Table810[[#This Row],[EAR Total Capacity]],"")</f>
        <v/>
      </c>
      <c r="R369" s="28"/>
      <c r="S369" s="45" t="s">
        <v>59</v>
      </c>
      <c r="T369" s="28"/>
      <c r="U369" s="28"/>
      <c r="V369" s="17" t="s">
        <v>61</v>
      </c>
      <c r="W369" s="12" t="b">
        <f>ISNUMBER(Table810[[#This Row],[EAR Total Capacity]])</f>
        <v>0</v>
      </c>
      <c r="X369" s="12" t="b">
        <f>IF(Table810[[#This Row],[Has  Storage for Full Averaging Period?]]="OK",TRUE,FALSE)</f>
        <v>0</v>
      </c>
      <c r="Y369" s="12" t="b">
        <f>IFERROR(IF(YEAR(Table810[[#This Row],[RISE Storage End Date]])=2025,TRUE,FALSE),FALSE)</f>
        <v>0</v>
      </c>
      <c r="Z369" s="11" t="b">
        <v>0</v>
      </c>
      <c r="AA369" s="16" t="s">
        <v>61</v>
      </c>
      <c r="AB369" s="17" t="s">
        <v>61</v>
      </c>
      <c r="AC369" s="17" t="s">
        <v>61</v>
      </c>
      <c r="AD369" s="17" t="s">
        <v>61</v>
      </c>
      <c r="AE369" s="17" t="s">
        <v>61</v>
      </c>
      <c r="AF369" s="17" t="s">
        <v>61</v>
      </c>
      <c r="AG369" s="17" t="s">
        <v>61</v>
      </c>
      <c r="AH369" s="17" t="s">
        <v>61</v>
      </c>
      <c r="AI369" s="17" t="s">
        <v>61</v>
      </c>
      <c r="AJ369" s="17" t="s">
        <v>61</v>
      </c>
      <c r="AK369" s="18"/>
      <c r="AL369" s="18"/>
      <c r="AM369" s="13" t="s">
        <v>1741</v>
      </c>
      <c r="AN369" s="11" t="s">
        <v>183</v>
      </c>
      <c r="AO369" s="11" t="s">
        <v>1741</v>
      </c>
      <c r="AP369" s="11" t="e">
        <v>#N/A</v>
      </c>
      <c r="AQ369" s="21" t="s">
        <v>136</v>
      </c>
      <c r="AR369" s="25"/>
      <c r="AS369" s="25"/>
      <c r="AT369" s="25"/>
      <c r="AU369" s="25"/>
      <c r="AV369" s="25"/>
      <c r="AW369" s="25"/>
      <c r="AX369" s="23"/>
    </row>
    <row r="370" spans="1:50" ht="16.5" customHeight="1">
      <c r="A370" s="36" t="s">
        <v>1742</v>
      </c>
      <c r="B370" s="28"/>
      <c r="C370" s="28" t="s">
        <v>97</v>
      </c>
      <c r="D370" s="28"/>
      <c r="E370" s="28"/>
      <c r="F370" s="28" t="s">
        <v>61</v>
      </c>
      <c r="G370" s="28"/>
      <c r="H370" s="28" t="str">
        <f>IF(ISNUMBER(Table810[[#This Row],[Total Capacity]]),"USBR Enterprise Asset Registry",IF(Table810[[#This Row],[Total Capacity]]="",""))</f>
        <v/>
      </c>
      <c r="I370" s="28"/>
      <c r="J370" s="28"/>
      <c r="K370" s="28"/>
      <c r="L370" s="50" t="s">
        <v>98</v>
      </c>
      <c r="M370" s="48"/>
      <c r="N370" s="50" t="s">
        <v>98</v>
      </c>
      <c r="O370" s="28"/>
      <c r="P370" s="37"/>
      <c r="Q370" s="28" t="str">
        <f>IF(OR(Table810[[#This Row],[Post-Review Decision]]="Include", Table810[[#This Row],[Post-Review Decision]]="Include if possible", Table810[[#This Row],[Post-Review Decision]]="Include (Omit % Avg if needed)",  Table810[[#This Row],[Post-Review Decision]]="Include (Omit % Avg)"),Table810[[#This Row],[EAR Total Capacity]],"")</f>
        <v/>
      </c>
      <c r="R370" s="28"/>
      <c r="S370" s="45">
        <v>0</v>
      </c>
      <c r="T370" s="28"/>
      <c r="U370" s="28"/>
      <c r="V370" s="13" t="s">
        <v>168</v>
      </c>
      <c r="W370" s="12" t="b">
        <f>ISNUMBER(Table810[[#This Row],[EAR Total Capacity]])</f>
        <v>0</v>
      </c>
      <c r="X370" s="12" t="b">
        <f>IF(Table810[[#This Row],[Has  Storage for Full Averaging Period?]]="OK",TRUE,FALSE)</f>
        <v>0</v>
      </c>
      <c r="Y370" s="12" t="b">
        <f>IFERROR(IF(YEAR(Table810[[#This Row],[RISE Storage End Date]])=2025,TRUE,FALSE),FALSE)</f>
        <v>0</v>
      </c>
      <c r="Z370" s="11" t="b">
        <v>0</v>
      </c>
      <c r="AA370" s="13">
        <v>361</v>
      </c>
      <c r="AB370" s="13" t="s">
        <v>76</v>
      </c>
      <c r="AC370" s="13" t="s">
        <v>1743</v>
      </c>
      <c r="AD370" s="13" t="s">
        <v>1742</v>
      </c>
      <c r="AE370" s="13" t="s">
        <v>101</v>
      </c>
      <c r="AF370" s="13" t="s">
        <v>1744</v>
      </c>
      <c r="AG370" s="13" t="s">
        <v>91</v>
      </c>
      <c r="AH370" s="13" t="s">
        <v>102</v>
      </c>
      <c r="AI370" s="13" t="s">
        <v>103</v>
      </c>
      <c r="AJ370" s="13"/>
      <c r="AK370" s="15"/>
      <c r="AL370" s="15"/>
      <c r="AM370" s="15" t="s">
        <v>61</v>
      </c>
      <c r="AN370" s="15" t="s">
        <v>61</v>
      </c>
      <c r="AO370" s="15" t="s">
        <v>61</v>
      </c>
      <c r="AP370" s="15" t="s">
        <v>61</v>
      </c>
      <c r="AQ370" s="22"/>
      <c r="AR370" s="25"/>
      <c r="AS370" s="25"/>
      <c r="AT370" s="25"/>
      <c r="AU370" s="25"/>
      <c r="AV370" s="25"/>
      <c r="AW370" s="25"/>
      <c r="AX370" s="24"/>
    </row>
    <row r="371" spans="1:50" ht="16.5" customHeight="1">
      <c r="A371" s="36" t="s">
        <v>1745</v>
      </c>
      <c r="B371" s="28"/>
      <c r="C371" s="28" t="s">
        <v>97</v>
      </c>
      <c r="D371" s="28"/>
      <c r="E371" s="28"/>
      <c r="F371" s="28" t="s">
        <v>61</v>
      </c>
      <c r="G371" s="28"/>
      <c r="H371" s="28" t="str">
        <f>IF(ISNUMBER(Table810[[#This Row],[Total Capacity]]),"USBR Enterprise Asset Registry",IF(Table810[[#This Row],[Total Capacity]]="",""))</f>
        <v/>
      </c>
      <c r="I371" s="28"/>
      <c r="J371" s="28"/>
      <c r="K371" s="28"/>
      <c r="L371" s="50" t="s">
        <v>98</v>
      </c>
      <c r="M371" s="48"/>
      <c r="N371" s="50" t="s">
        <v>98</v>
      </c>
      <c r="O371" s="28"/>
      <c r="P371" s="37"/>
      <c r="Q371" s="28" t="str">
        <f>IF(OR(Table810[[#This Row],[Post-Review Decision]]="Include", Table810[[#This Row],[Post-Review Decision]]="Include if possible", Table810[[#This Row],[Post-Review Decision]]="Include (Omit % Avg if needed)",  Table810[[#This Row],[Post-Review Decision]]="Include (Omit % Avg)"),Table810[[#This Row],[EAR Total Capacity]],"")</f>
        <v/>
      </c>
      <c r="R371" s="28">
        <v>9785</v>
      </c>
      <c r="S371" s="46">
        <v>10117</v>
      </c>
      <c r="T371" s="28"/>
      <c r="U371" s="28"/>
      <c r="V371" s="13" t="s">
        <v>1746</v>
      </c>
      <c r="W371" s="12" t="b">
        <f>ISNUMBER(Table810[[#This Row],[EAR Total Capacity]])</f>
        <v>1</v>
      </c>
      <c r="X371" s="12" t="b">
        <f>IF(Table810[[#This Row],[Has  Storage for Full Averaging Period?]]="OK",TRUE,FALSE)</f>
        <v>0</v>
      </c>
      <c r="Y371" s="12" t="b">
        <f>IFERROR(IF(YEAR(Table810[[#This Row],[RISE Storage End Date]])=2025,TRUE,FALSE),FALSE)</f>
        <v>0</v>
      </c>
      <c r="Z371" s="11" t="b">
        <v>0</v>
      </c>
      <c r="AA371" s="13">
        <v>362</v>
      </c>
      <c r="AB371" s="13" t="s">
        <v>76</v>
      </c>
      <c r="AC371" s="13" t="s">
        <v>1747</v>
      </c>
      <c r="AD371" s="13" t="s">
        <v>1745</v>
      </c>
      <c r="AE371" s="13" t="s">
        <v>78</v>
      </c>
      <c r="AF371" s="13" t="s">
        <v>1748</v>
      </c>
      <c r="AG371" s="13" t="s">
        <v>159</v>
      </c>
      <c r="AH371" s="13" t="s">
        <v>160</v>
      </c>
      <c r="AI371" s="13" t="s">
        <v>82</v>
      </c>
      <c r="AJ371" s="13">
        <v>10308</v>
      </c>
      <c r="AK371" s="15"/>
      <c r="AL371" s="15"/>
      <c r="AM371" s="15" t="s">
        <v>61</v>
      </c>
      <c r="AN371" s="15" t="s">
        <v>61</v>
      </c>
      <c r="AO371" s="15" t="s">
        <v>61</v>
      </c>
      <c r="AP371" s="15" t="s">
        <v>61</v>
      </c>
      <c r="AQ371" s="21" t="s">
        <v>136</v>
      </c>
      <c r="AR371" s="25"/>
      <c r="AS371" s="25"/>
      <c r="AT371" s="25"/>
      <c r="AU371" s="25"/>
      <c r="AV371" s="25"/>
      <c r="AW371" s="25"/>
      <c r="AX371" s="24"/>
    </row>
    <row r="372" spans="1:50" ht="16.5" customHeight="1">
      <c r="A372" s="36" t="s">
        <v>1749</v>
      </c>
      <c r="B372" s="28"/>
      <c r="C372" s="28" t="s">
        <v>97</v>
      </c>
      <c r="D372" s="28"/>
      <c r="E372" s="28"/>
      <c r="F372" s="28">
        <v>3730</v>
      </c>
      <c r="G372" s="28"/>
      <c r="H372" s="28" t="str">
        <f>IF(ISNUMBER(Table810[[#This Row],[Total Capacity]]),"USBR Enterprise Asset Registry",IF(Table810[[#This Row],[Total Capacity]]="",""))</f>
        <v/>
      </c>
      <c r="I372" s="28"/>
      <c r="J372" s="28"/>
      <c r="K372" s="28"/>
      <c r="L372" s="50" t="s">
        <v>98</v>
      </c>
      <c r="M372" s="48"/>
      <c r="N372" s="50" t="s">
        <v>98</v>
      </c>
      <c r="O372" s="28"/>
      <c r="P372" s="37"/>
      <c r="Q372" s="28" t="str">
        <f>IF(OR(Table810[[#This Row],[Post-Review Decision]]="Include", Table810[[#This Row],[Post-Review Decision]]="Include if possible", Table810[[#This Row],[Post-Review Decision]]="Include (Omit % Avg if needed)",  Table810[[#This Row],[Post-Review Decision]]="Include (Omit % Avg)"),Table810[[#This Row],[EAR Total Capacity]],"")</f>
        <v/>
      </c>
      <c r="R372" s="28">
        <v>2010550</v>
      </c>
      <c r="S372" s="46">
        <v>2089770</v>
      </c>
      <c r="T372" s="28"/>
      <c r="U372" s="28"/>
      <c r="V372" s="13" t="s">
        <v>1207</v>
      </c>
      <c r="W372" s="12" t="b">
        <f>ISNUMBER(Table810[[#This Row],[EAR Total Capacity]])</f>
        <v>1</v>
      </c>
      <c r="X372" s="12" t="b">
        <f>IF(Table810[[#This Row],[Has  Storage for Full Averaging Period?]]="OK",TRUE,FALSE)</f>
        <v>0</v>
      </c>
      <c r="Y372" s="12" t="b">
        <f>IFERROR(IF(YEAR(Table810[[#This Row],[RISE Storage End Date]])=2025,TRUE,FALSE),FALSE)</f>
        <v>0</v>
      </c>
      <c r="Z372" s="11" t="b">
        <v>0</v>
      </c>
      <c r="AA372" s="13">
        <v>364</v>
      </c>
      <c r="AB372" s="13" t="s">
        <v>76</v>
      </c>
      <c r="AC372" s="13" t="s">
        <v>1750</v>
      </c>
      <c r="AD372" s="13" t="s">
        <v>1749</v>
      </c>
      <c r="AE372" s="13" t="s">
        <v>78</v>
      </c>
      <c r="AF372" s="13" t="s">
        <v>1751</v>
      </c>
      <c r="AG372" s="13" t="s">
        <v>159</v>
      </c>
      <c r="AH372" s="13" t="s">
        <v>160</v>
      </c>
      <c r="AI372" s="13" t="s">
        <v>82</v>
      </c>
      <c r="AJ372" s="13">
        <v>2089780</v>
      </c>
      <c r="AK372" s="18"/>
      <c r="AL372" s="18"/>
      <c r="AM372" s="13" t="s">
        <v>1752</v>
      </c>
      <c r="AN372" s="13" t="s">
        <v>246</v>
      </c>
      <c r="AO372" s="11" t="s">
        <v>1749</v>
      </c>
      <c r="AP372" s="11" t="s">
        <v>275</v>
      </c>
      <c r="AQ372" s="21" t="s">
        <v>136</v>
      </c>
      <c r="AR372" s="25"/>
      <c r="AS372" s="25"/>
      <c r="AT372" s="25"/>
      <c r="AU372" s="25"/>
      <c r="AV372" s="25"/>
      <c r="AW372" s="25"/>
      <c r="AX372" s="24"/>
    </row>
    <row r="373" spans="1:50" ht="16.5" customHeight="1">
      <c r="A373" s="36" t="s">
        <v>1753</v>
      </c>
      <c r="B373" s="28"/>
      <c r="C373" s="28" t="s">
        <v>97</v>
      </c>
      <c r="D373" s="28"/>
      <c r="E373" s="28"/>
      <c r="F373" s="28" t="s">
        <v>61</v>
      </c>
      <c r="G373" s="28"/>
      <c r="H373" s="28" t="str">
        <f>IF(ISNUMBER(Table810[[#This Row],[Total Capacity]]),"USBR Enterprise Asset Registry",IF(Table810[[#This Row],[Total Capacity]]="",""))</f>
        <v/>
      </c>
      <c r="I373" s="28"/>
      <c r="J373" s="28"/>
      <c r="K373" s="28"/>
      <c r="L373" s="50" t="s">
        <v>98</v>
      </c>
      <c r="M373" s="48"/>
      <c r="N373" s="50" t="s">
        <v>98</v>
      </c>
      <c r="O373" s="28"/>
      <c r="P373" s="37"/>
      <c r="Q373" s="28" t="str">
        <f>IF(OR(Table810[[#This Row],[Post-Review Decision]]="Include", Table810[[#This Row],[Post-Review Decision]]="Include if possible", Table810[[#This Row],[Post-Review Decision]]="Include (Omit % Avg if needed)",  Table810[[#This Row],[Post-Review Decision]]="Include (Omit % Avg)"),Table810[[#This Row],[EAR Total Capacity]],"")</f>
        <v/>
      </c>
      <c r="R373" s="28"/>
      <c r="S373" s="45">
        <v>0</v>
      </c>
      <c r="T373" s="28"/>
      <c r="U373" s="28"/>
      <c r="V373" s="13" t="s">
        <v>206</v>
      </c>
      <c r="W373" s="12" t="b">
        <f>ISNUMBER(Table810[[#This Row],[EAR Total Capacity]])</f>
        <v>0</v>
      </c>
      <c r="X373" s="12" t="b">
        <f>IF(Table810[[#This Row],[Has  Storage for Full Averaging Period?]]="OK",TRUE,FALSE)</f>
        <v>0</v>
      </c>
      <c r="Y373" s="12" t="b">
        <f>IFERROR(IF(YEAR(Table810[[#This Row],[RISE Storage End Date]])=2025,TRUE,FALSE),FALSE)</f>
        <v>0</v>
      </c>
      <c r="Z373" s="11" t="b">
        <v>0</v>
      </c>
      <c r="AA373" s="13">
        <v>365</v>
      </c>
      <c r="AB373" s="13" t="s">
        <v>76</v>
      </c>
      <c r="AC373" s="13" t="s">
        <v>1754</v>
      </c>
      <c r="AD373" s="13" t="s">
        <v>1753</v>
      </c>
      <c r="AE373" s="13" t="s">
        <v>101</v>
      </c>
      <c r="AF373" s="13" t="s">
        <v>1753</v>
      </c>
      <c r="AG373" s="13" t="s">
        <v>80</v>
      </c>
      <c r="AH373" s="13" t="s">
        <v>81</v>
      </c>
      <c r="AI373" s="13" t="s">
        <v>356</v>
      </c>
      <c r="AJ373" s="13"/>
      <c r="AK373" s="15"/>
      <c r="AL373" s="15"/>
      <c r="AM373" s="15" t="s">
        <v>61</v>
      </c>
      <c r="AN373" s="15" t="s">
        <v>61</v>
      </c>
      <c r="AO373" s="15" t="s">
        <v>61</v>
      </c>
      <c r="AP373" s="15" t="s">
        <v>61</v>
      </c>
      <c r="AQ373" s="22"/>
      <c r="AR373" s="25"/>
      <c r="AS373" s="25"/>
      <c r="AT373" s="25"/>
      <c r="AU373" s="25"/>
      <c r="AV373" s="25"/>
      <c r="AW373" s="25"/>
      <c r="AX373" s="24"/>
    </row>
    <row r="374" spans="1:50" ht="16.5" customHeight="1">
      <c r="A374" s="36" t="s">
        <v>1755</v>
      </c>
      <c r="B374" s="28"/>
      <c r="C374" s="28" t="s">
        <v>97</v>
      </c>
      <c r="D374" s="28"/>
      <c r="E374" s="28"/>
      <c r="F374" s="28" t="s">
        <v>61</v>
      </c>
      <c r="G374" s="28"/>
      <c r="H374" s="28" t="str">
        <f>IF(ISNUMBER(Table810[[#This Row],[Total Capacity]]),"USBR Enterprise Asset Registry",IF(Table810[[#This Row],[Total Capacity]]="",""))</f>
        <v/>
      </c>
      <c r="I374" s="28"/>
      <c r="J374" s="28"/>
      <c r="K374" s="28"/>
      <c r="L374" s="50" t="s">
        <v>98</v>
      </c>
      <c r="M374" s="48"/>
      <c r="N374" s="50" t="s">
        <v>98</v>
      </c>
      <c r="O374" s="28"/>
      <c r="P374" s="37"/>
      <c r="Q374" s="28" t="str">
        <f>IF(OR(Table810[[#This Row],[Post-Review Decision]]="Include", Table810[[#This Row],[Post-Review Decision]]="Include if possible", Table810[[#This Row],[Post-Review Decision]]="Include (Omit % Avg if needed)",  Table810[[#This Row],[Post-Review Decision]]="Include (Omit % Avg)"),Table810[[#This Row],[EAR Total Capacity]],"")</f>
        <v/>
      </c>
      <c r="R374" s="28"/>
      <c r="S374" s="45">
        <v>0</v>
      </c>
      <c r="T374" s="28"/>
      <c r="U374" s="28"/>
      <c r="V374" s="13" t="s">
        <v>370</v>
      </c>
      <c r="W374" s="12" t="b">
        <f>ISNUMBER(Table810[[#This Row],[EAR Total Capacity]])</f>
        <v>0</v>
      </c>
      <c r="X374" s="12" t="b">
        <f>IF(Table810[[#This Row],[Has  Storage for Full Averaging Period?]]="OK",TRUE,FALSE)</f>
        <v>0</v>
      </c>
      <c r="Y374" s="12" t="b">
        <f>IFERROR(IF(YEAR(Table810[[#This Row],[RISE Storage End Date]])=2025,TRUE,FALSE),FALSE)</f>
        <v>0</v>
      </c>
      <c r="Z374" s="11" t="b">
        <v>0</v>
      </c>
      <c r="AA374" s="13">
        <v>366</v>
      </c>
      <c r="AB374" s="13" t="s">
        <v>76</v>
      </c>
      <c r="AC374" s="13" t="s">
        <v>1756</v>
      </c>
      <c r="AD374" s="13" t="s">
        <v>1755</v>
      </c>
      <c r="AE374" s="13" t="s">
        <v>78</v>
      </c>
      <c r="AF374" s="13" t="s">
        <v>1757</v>
      </c>
      <c r="AG374" s="13" t="s">
        <v>91</v>
      </c>
      <c r="AH374" s="13" t="s">
        <v>92</v>
      </c>
      <c r="AI374" s="13" t="s">
        <v>110</v>
      </c>
      <c r="AJ374" s="13"/>
      <c r="AK374" s="15"/>
      <c r="AL374" s="15"/>
      <c r="AM374" s="15" t="s">
        <v>61</v>
      </c>
      <c r="AN374" s="15" t="s">
        <v>61</v>
      </c>
      <c r="AO374" s="15" t="s">
        <v>61</v>
      </c>
      <c r="AP374" s="15" t="s">
        <v>61</v>
      </c>
      <c r="AQ374" s="21" t="s">
        <v>136</v>
      </c>
      <c r="AR374" s="25"/>
      <c r="AS374" s="25"/>
      <c r="AT374" s="25"/>
      <c r="AU374" s="25"/>
      <c r="AV374" s="25"/>
      <c r="AW374" s="25"/>
      <c r="AX374" s="24"/>
    </row>
    <row r="375" spans="1:50" ht="16.5" customHeight="1">
      <c r="A375" s="36" t="s">
        <v>1758</v>
      </c>
      <c r="B375" s="28"/>
      <c r="C375" s="28" t="s">
        <v>97</v>
      </c>
      <c r="D375" s="28"/>
      <c r="E375" s="28"/>
      <c r="F375" s="28" t="s">
        <v>61</v>
      </c>
      <c r="G375" s="28"/>
      <c r="H375" s="28" t="str">
        <f>IF(ISNUMBER(Table810[[#This Row],[Total Capacity]]),"USBR Enterprise Asset Registry",IF(Table810[[#This Row],[Total Capacity]]="",""))</f>
        <v/>
      </c>
      <c r="I375" s="28"/>
      <c r="J375" s="28"/>
      <c r="K375" s="28"/>
      <c r="L375" s="50" t="s">
        <v>98</v>
      </c>
      <c r="M375" s="48"/>
      <c r="N375" s="50" t="s">
        <v>98</v>
      </c>
      <c r="O375" s="28"/>
      <c r="P375" s="37"/>
      <c r="Q375" s="28" t="str">
        <f>IF(OR(Table810[[#This Row],[Post-Review Decision]]="Include", Table810[[#This Row],[Post-Review Decision]]="Include if possible", Table810[[#This Row],[Post-Review Decision]]="Include (Omit % Avg if needed)",  Table810[[#This Row],[Post-Review Decision]]="Include (Omit % Avg)"),Table810[[#This Row],[EAR Total Capacity]],"")</f>
        <v/>
      </c>
      <c r="R375" s="28"/>
      <c r="S375" s="45">
        <v>0</v>
      </c>
      <c r="T375" s="28"/>
      <c r="U375" s="28"/>
      <c r="V375" s="13" t="s">
        <v>370</v>
      </c>
      <c r="W375" s="12" t="b">
        <f>ISNUMBER(Table810[[#This Row],[EAR Total Capacity]])</f>
        <v>0</v>
      </c>
      <c r="X375" s="12" t="b">
        <f>IF(Table810[[#This Row],[Has  Storage for Full Averaging Period?]]="OK",TRUE,FALSE)</f>
        <v>0</v>
      </c>
      <c r="Y375" s="12" t="b">
        <f>IFERROR(IF(YEAR(Table810[[#This Row],[RISE Storage End Date]])=2025,TRUE,FALSE),FALSE)</f>
        <v>0</v>
      </c>
      <c r="Z375" s="11" t="b">
        <v>0</v>
      </c>
      <c r="AA375" s="13">
        <v>367</v>
      </c>
      <c r="AB375" s="13" t="s">
        <v>76</v>
      </c>
      <c r="AC375" s="13" t="s">
        <v>1759</v>
      </c>
      <c r="AD375" s="13" t="s">
        <v>1758</v>
      </c>
      <c r="AE375" s="13" t="s">
        <v>78</v>
      </c>
      <c r="AF375" s="13" t="s">
        <v>1757</v>
      </c>
      <c r="AG375" s="13" t="s">
        <v>91</v>
      </c>
      <c r="AH375" s="13" t="s">
        <v>92</v>
      </c>
      <c r="AI375" s="13" t="s">
        <v>110</v>
      </c>
      <c r="AJ375" s="13"/>
      <c r="AK375" s="15"/>
      <c r="AL375" s="15"/>
      <c r="AM375" s="15" t="s">
        <v>61</v>
      </c>
      <c r="AN375" s="15" t="s">
        <v>61</v>
      </c>
      <c r="AO375" s="15" t="s">
        <v>61</v>
      </c>
      <c r="AP375" s="15" t="s">
        <v>61</v>
      </c>
      <c r="AQ375" s="21" t="s">
        <v>136</v>
      </c>
      <c r="AR375" s="25"/>
      <c r="AS375" s="25"/>
      <c r="AT375" s="25"/>
      <c r="AU375" s="25"/>
      <c r="AV375" s="25"/>
      <c r="AW375" s="25"/>
      <c r="AX375" s="24"/>
    </row>
    <row r="376" spans="1:50" ht="16.5" customHeight="1">
      <c r="A376" s="36" t="s">
        <v>1760</v>
      </c>
      <c r="B376" s="33" t="s">
        <v>51</v>
      </c>
      <c r="C376" s="28" t="s">
        <v>52</v>
      </c>
      <c r="D376" s="28" t="s">
        <v>53</v>
      </c>
      <c r="E376" s="28" t="s">
        <v>1761</v>
      </c>
      <c r="F376" s="28">
        <v>458</v>
      </c>
      <c r="G376" s="28" t="s">
        <v>55</v>
      </c>
      <c r="H376" s="28" t="s">
        <v>537</v>
      </c>
      <c r="I376" s="28" t="s">
        <v>57</v>
      </c>
      <c r="J376" s="28"/>
      <c r="K376" s="28"/>
      <c r="L376" s="50" t="e">
        <v>#VALUE!</v>
      </c>
      <c r="M376" s="50">
        <v>801174</v>
      </c>
      <c r="N376" s="50"/>
      <c r="O376" s="28"/>
      <c r="P376" s="37" t="s">
        <v>1762</v>
      </c>
      <c r="Q376" s="33">
        <v>801174</v>
      </c>
      <c r="R376" s="33"/>
      <c r="S376" s="45" t="s">
        <v>59</v>
      </c>
      <c r="T376" s="33" t="s">
        <v>1760</v>
      </c>
      <c r="U376" s="33" t="s">
        <v>1763</v>
      </c>
      <c r="V376" s="17" t="s">
        <v>61</v>
      </c>
      <c r="W376" s="12" t="b">
        <f>ISNUMBER(Table810[[#This Row],[EAR Total Capacity]])</f>
        <v>0</v>
      </c>
      <c r="X376" s="12" t="b">
        <f>IF(Table810[[#This Row],[Has  Storage for Full Averaging Period?]]="OK",TRUE,FALSE)</f>
        <v>0</v>
      </c>
      <c r="Y376" s="12" t="b">
        <f>IFERROR(IF(YEAR(Table810[[#This Row],[RISE Storage End Date]])=2025,TRUE,FALSE),FALSE)</f>
        <v>0</v>
      </c>
      <c r="Z376" s="11" t="b">
        <v>0</v>
      </c>
      <c r="AA376" s="16" t="s">
        <v>61</v>
      </c>
      <c r="AB376" s="17" t="s">
        <v>61</v>
      </c>
      <c r="AC376" s="17" t="s">
        <v>61</v>
      </c>
      <c r="AD376" s="17" t="s">
        <v>61</v>
      </c>
      <c r="AE376" s="17" t="s">
        <v>61</v>
      </c>
      <c r="AF376" s="17" t="s">
        <v>61</v>
      </c>
      <c r="AG376" s="17" t="s">
        <v>61</v>
      </c>
      <c r="AH376" s="17" t="s">
        <v>61</v>
      </c>
      <c r="AI376" s="17" t="s">
        <v>61</v>
      </c>
      <c r="AJ376" s="17" t="s">
        <v>61</v>
      </c>
      <c r="AK376" s="18"/>
      <c r="AL376" s="18"/>
      <c r="AM376" s="13" t="s">
        <v>1764</v>
      </c>
      <c r="AN376" s="11" t="s">
        <v>63</v>
      </c>
      <c r="AO376" s="11" t="s">
        <v>1760</v>
      </c>
      <c r="AP376" s="11" t="e">
        <v>#N/A</v>
      </c>
      <c r="AQ376" s="21" t="s">
        <v>64</v>
      </c>
      <c r="AR376" s="26">
        <v>29221</v>
      </c>
      <c r="AS376" s="26">
        <v>43970</v>
      </c>
      <c r="AT376" s="25">
        <v>14750</v>
      </c>
      <c r="AU376" s="25" t="s">
        <v>65</v>
      </c>
      <c r="AV376" s="25" t="s">
        <v>66</v>
      </c>
      <c r="AW376" s="25" t="s">
        <v>66</v>
      </c>
      <c r="AX376" s="23"/>
    </row>
    <row r="377" spans="1:50" ht="16.5" customHeight="1">
      <c r="A377" s="36" t="s">
        <v>1765</v>
      </c>
      <c r="B377" s="28"/>
      <c r="C377" s="28" t="s">
        <v>97</v>
      </c>
      <c r="D377" s="28"/>
      <c r="E377" s="28"/>
      <c r="F377" s="28" t="s">
        <v>61</v>
      </c>
      <c r="G377" s="28"/>
      <c r="H377" s="28" t="str">
        <f>IF(ISNUMBER(Table810[[#This Row],[Total Capacity]]),"USBR Enterprise Asset Registry",IF(Table810[[#This Row],[Total Capacity]]="",""))</f>
        <v/>
      </c>
      <c r="I377" s="28"/>
      <c r="J377" s="28"/>
      <c r="K377" s="28"/>
      <c r="L377" s="50" t="s">
        <v>98</v>
      </c>
      <c r="M377" s="48"/>
      <c r="N377" s="50" t="s">
        <v>98</v>
      </c>
      <c r="O377" s="28"/>
      <c r="P377" s="37"/>
      <c r="Q377" s="28" t="str">
        <f>IF(OR(Table810[[#This Row],[Post-Review Decision]]="Include", Table810[[#This Row],[Post-Review Decision]]="Include if possible", Table810[[#This Row],[Post-Review Decision]]="Include (Omit % Avg if needed)",  Table810[[#This Row],[Post-Review Decision]]="Include (Omit % Avg)"),Table810[[#This Row],[EAR Total Capacity]],"")</f>
        <v/>
      </c>
      <c r="R377" s="28"/>
      <c r="S377" s="45">
        <v>0</v>
      </c>
      <c r="T377" s="28"/>
      <c r="U377" s="28"/>
      <c r="V377" s="13" t="s">
        <v>442</v>
      </c>
      <c r="W377" s="12" t="b">
        <f>ISNUMBER(Table810[[#This Row],[EAR Total Capacity]])</f>
        <v>0</v>
      </c>
      <c r="X377" s="12" t="b">
        <f>IF(Table810[[#This Row],[Has  Storage for Full Averaging Period?]]="OK",TRUE,FALSE)</f>
        <v>0</v>
      </c>
      <c r="Y377" s="12" t="b">
        <f>IFERROR(IF(YEAR(Table810[[#This Row],[RISE Storage End Date]])=2025,TRUE,FALSE),FALSE)</f>
        <v>0</v>
      </c>
      <c r="Z377" s="11" t="b">
        <v>0</v>
      </c>
      <c r="AA377" s="13">
        <v>368</v>
      </c>
      <c r="AB377" s="13" t="s">
        <v>76</v>
      </c>
      <c r="AC377" s="13" t="s">
        <v>1766</v>
      </c>
      <c r="AD377" s="13" t="s">
        <v>1765</v>
      </c>
      <c r="AE377" s="13" t="s">
        <v>101</v>
      </c>
      <c r="AF377" s="13" t="s">
        <v>1767</v>
      </c>
      <c r="AG377" s="13" t="s">
        <v>91</v>
      </c>
      <c r="AH377" s="13" t="s">
        <v>92</v>
      </c>
      <c r="AI377" s="13" t="s">
        <v>103</v>
      </c>
      <c r="AJ377" s="13"/>
      <c r="AK377" s="15"/>
      <c r="AL377" s="15"/>
      <c r="AM377" s="15" t="s">
        <v>61</v>
      </c>
      <c r="AN377" s="15" t="s">
        <v>61</v>
      </c>
      <c r="AO377" s="15" t="s">
        <v>61</v>
      </c>
      <c r="AP377" s="15" t="s">
        <v>61</v>
      </c>
      <c r="AQ377" s="22"/>
      <c r="AR377" s="25"/>
      <c r="AS377" s="25"/>
      <c r="AT377" s="25"/>
      <c r="AU377" s="25"/>
      <c r="AV377" s="25"/>
      <c r="AW377" s="25"/>
      <c r="AX377" s="24"/>
    </row>
    <row r="378" spans="1:50" ht="16.5" customHeight="1">
      <c r="A378" s="36" t="s">
        <v>1768</v>
      </c>
      <c r="B378" s="28" t="s">
        <v>68</v>
      </c>
      <c r="C378" s="28" t="s">
        <v>86</v>
      </c>
      <c r="D378" s="28"/>
      <c r="E378" s="28" t="s">
        <v>70</v>
      </c>
      <c r="F378" s="28">
        <v>466</v>
      </c>
      <c r="G378" s="28">
        <v>3</v>
      </c>
      <c r="H378" s="28" t="str">
        <f>IF(ISNUMBER(Table810[[#This Row],[Total Capacity]]),"USBR Enterprise Asset Registry",IF(Table810[[#This Row],[Total Capacity]]="",""))</f>
        <v>USBR Enterprise Asset Registry</v>
      </c>
      <c r="I378" s="28" t="s">
        <v>257</v>
      </c>
      <c r="J378" s="28" t="s">
        <v>72</v>
      </c>
      <c r="K378" s="28"/>
      <c r="L378" s="50">
        <v>65800</v>
      </c>
      <c r="M378" s="48"/>
      <c r="N378" s="50">
        <v>65800</v>
      </c>
      <c r="O378" s="28"/>
      <c r="P378" s="37"/>
      <c r="Q378" s="28">
        <f>IF(OR(Table810[[#This Row],[Post-Review Decision]]="Include", Table810[[#This Row],[Post-Review Decision]]="Include if possible", Table810[[#This Row],[Post-Review Decision]]="Include (Omit % Avg if needed)",  Table810[[#This Row],[Post-Review Decision]]="Include (Omit % Avg)"),Table810[[#This Row],[EAR Total Capacity]],"")</f>
        <v>73600</v>
      </c>
      <c r="R378" s="28">
        <v>65800</v>
      </c>
      <c r="S378" s="46">
        <v>65800</v>
      </c>
      <c r="T378" s="28" t="s">
        <v>1768</v>
      </c>
      <c r="U378" s="28" t="s">
        <v>1769</v>
      </c>
      <c r="V378" s="13" t="s">
        <v>1770</v>
      </c>
      <c r="W378" s="12" t="b">
        <f>ISNUMBER(Table810[[#This Row],[EAR Total Capacity]])</f>
        <v>1</v>
      </c>
      <c r="X378" s="12" t="b">
        <f>IF(Table810[[#This Row],[Has  Storage for Full Averaging Period?]]="OK",TRUE,FALSE)</f>
        <v>1</v>
      </c>
      <c r="Y378" s="12" t="b">
        <f>IFERROR(IF(YEAR(Table810[[#This Row],[RISE Storage End Date]])=2025,TRUE,FALSE),FALSE)</f>
        <v>1</v>
      </c>
      <c r="Z378" s="11" t="b">
        <v>0</v>
      </c>
      <c r="AA378" s="13">
        <v>369</v>
      </c>
      <c r="AB378" s="13" t="s">
        <v>76</v>
      </c>
      <c r="AC378" s="13" t="s">
        <v>1771</v>
      </c>
      <c r="AD378" s="13" t="s">
        <v>1768</v>
      </c>
      <c r="AE378" s="13" t="s">
        <v>78</v>
      </c>
      <c r="AF378" s="13" t="s">
        <v>1772</v>
      </c>
      <c r="AG378" s="13" t="s">
        <v>91</v>
      </c>
      <c r="AH378" s="13" t="s">
        <v>102</v>
      </c>
      <c r="AI378" s="13" t="s">
        <v>93</v>
      </c>
      <c r="AJ378" s="13">
        <v>73600</v>
      </c>
      <c r="AK378" s="18"/>
      <c r="AL378" s="18"/>
      <c r="AM378" s="13" t="s">
        <v>1773</v>
      </c>
      <c r="AN378" s="13" t="s">
        <v>63</v>
      </c>
      <c r="AO378" s="13" t="s">
        <v>1768</v>
      </c>
      <c r="AP378" s="13" t="s">
        <v>1768</v>
      </c>
      <c r="AQ378" s="21" t="s">
        <v>64</v>
      </c>
      <c r="AR378" s="26">
        <v>27333</v>
      </c>
      <c r="AS378" s="26">
        <v>46007</v>
      </c>
      <c r="AT378" s="25">
        <v>18676</v>
      </c>
      <c r="AU378" s="25" t="s">
        <v>65</v>
      </c>
      <c r="AV378" s="25" t="s">
        <v>65</v>
      </c>
      <c r="AW378" s="25" t="s">
        <v>65</v>
      </c>
      <c r="AX378" s="24"/>
    </row>
    <row r="379" spans="1:50" ht="16.5" customHeight="1">
      <c r="A379" s="36" t="s">
        <v>1774</v>
      </c>
      <c r="B379" s="28" t="s">
        <v>68</v>
      </c>
      <c r="C379" s="28" t="s">
        <v>69</v>
      </c>
      <c r="D379" s="28"/>
      <c r="E379" s="28" t="s">
        <v>70</v>
      </c>
      <c r="F379" s="28">
        <v>7266</v>
      </c>
      <c r="G379" s="28">
        <v>3</v>
      </c>
      <c r="H379" s="28" t="str">
        <f>IF(ISNUMBER(Table810[[#This Row],[Total Capacity]]),"USBR Enterprise Asset Registry",IF(Table810[[#This Row],[Total Capacity]]="",""))</f>
        <v>USBR Enterprise Asset Registry</v>
      </c>
      <c r="I379" s="28" t="s">
        <v>71</v>
      </c>
      <c r="J379" s="28" t="s">
        <v>72</v>
      </c>
      <c r="K379" s="28"/>
      <c r="L379" s="50">
        <v>6750</v>
      </c>
      <c r="M379" s="48"/>
      <c r="N379" s="50">
        <v>6750</v>
      </c>
      <c r="O379" s="28"/>
      <c r="P379" s="37"/>
      <c r="Q379" s="28">
        <f>IF(OR(Table810[[#This Row],[Post-Review Decision]]="Include", Table810[[#This Row],[Post-Review Decision]]="Include if possible", Table810[[#This Row],[Post-Review Decision]]="Include (Omit % Avg if needed)",  Table810[[#This Row],[Post-Review Decision]]="Include (Omit % Avg)"),Table810[[#This Row],[EAR Total Capacity]],"")</f>
        <v>15250</v>
      </c>
      <c r="R379" s="28">
        <v>6750</v>
      </c>
      <c r="S379" s="46">
        <v>11650</v>
      </c>
      <c r="T379" s="28" t="s">
        <v>1775</v>
      </c>
      <c r="U379" s="28" t="s">
        <v>1776</v>
      </c>
      <c r="V379" s="13" t="s">
        <v>206</v>
      </c>
      <c r="W379" s="12" t="b">
        <f>ISNUMBER(Table810[[#This Row],[EAR Total Capacity]])</f>
        <v>1</v>
      </c>
      <c r="X379" s="12" t="s">
        <v>75</v>
      </c>
      <c r="Y379" s="12" t="b">
        <f>IFERROR(IF(YEAR(Table810[[#This Row],[RISE Storage End Date]])=2025,TRUE,FALSE),FALSE)</f>
        <v>0</v>
      </c>
      <c r="Z379" s="11" t="b">
        <v>0</v>
      </c>
      <c r="AA379" s="13">
        <v>370</v>
      </c>
      <c r="AB379" s="13" t="s">
        <v>76</v>
      </c>
      <c r="AC379" s="13" t="s">
        <v>1777</v>
      </c>
      <c r="AD379" s="13" t="s">
        <v>1774</v>
      </c>
      <c r="AE379" s="13" t="s">
        <v>78</v>
      </c>
      <c r="AF379" s="13" t="s">
        <v>1778</v>
      </c>
      <c r="AG379" s="13" t="s">
        <v>80</v>
      </c>
      <c r="AH379" s="13" t="s">
        <v>81</v>
      </c>
      <c r="AI379" s="13" t="s">
        <v>110</v>
      </c>
      <c r="AJ379" s="19">
        <v>15250</v>
      </c>
      <c r="AK379" s="18"/>
      <c r="AL379" s="18"/>
      <c r="AM379" s="13" t="s">
        <v>1779</v>
      </c>
      <c r="AN379" s="13" t="s">
        <v>84</v>
      </c>
      <c r="AO379" s="13" t="s">
        <v>1774</v>
      </c>
      <c r="AP379" s="13" t="e">
        <v>#N/A</v>
      </c>
      <c r="AQ379" s="21" t="s">
        <v>64</v>
      </c>
      <c r="AR379" s="25"/>
      <c r="AS379" s="25"/>
      <c r="AT379" s="25"/>
      <c r="AU379" s="25"/>
      <c r="AV379" s="25"/>
      <c r="AW379" s="25"/>
      <c r="AX379" s="24"/>
    </row>
    <row r="380" spans="1:50" ht="16.5" customHeight="1">
      <c r="A380" s="36" t="s">
        <v>1780</v>
      </c>
      <c r="B380" s="28"/>
      <c r="C380" s="28" t="s">
        <v>97</v>
      </c>
      <c r="D380" s="28"/>
      <c r="E380" s="28"/>
      <c r="F380" s="28" t="s">
        <v>61</v>
      </c>
      <c r="G380" s="28"/>
      <c r="H380" s="28" t="str">
        <f>IF(ISNUMBER(Table810[[#This Row],[Total Capacity]]),"USBR Enterprise Asset Registry",IF(Table810[[#This Row],[Total Capacity]]="",""))</f>
        <v/>
      </c>
      <c r="I380" s="28"/>
      <c r="J380" s="28"/>
      <c r="K380" s="28"/>
      <c r="L380" s="50" t="s">
        <v>98</v>
      </c>
      <c r="M380" s="48"/>
      <c r="N380" s="50" t="s">
        <v>98</v>
      </c>
      <c r="O380" s="28"/>
      <c r="P380" s="37"/>
      <c r="Q380" s="28" t="str">
        <f>IF(OR(Table810[[#This Row],[Post-Review Decision]]="Include", Table810[[#This Row],[Post-Review Decision]]="Include if possible", Table810[[#This Row],[Post-Review Decision]]="Include (Omit % Avg if needed)",  Table810[[#This Row],[Post-Review Decision]]="Include (Omit % Avg)"),Table810[[#This Row],[EAR Total Capacity]],"")</f>
        <v/>
      </c>
      <c r="R380" s="28"/>
      <c r="S380" s="45">
        <v>0</v>
      </c>
      <c r="T380" s="28"/>
      <c r="U380" s="28"/>
      <c r="V380" s="13" t="s">
        <v>530</v>
      </c>
      <c r="W380" s="12" t="b">
        <f>ISNUMBER(Table810[[#This Row],[EAR Total Capacity]])</f>
        <v>0</v>
      </c>
      <c r="X380" s="12" t="b">
        <f>IF(Table810[[#This Row],[Has  Storage for Full Averaging Period?]]="OK",TRUE,FALSE)</f>
        <v>0</v>
      </c>
      <c r="Y380" s="12" t="b">
        <f>IFERROR(IF(YEAR(Table810[[#This Row],[RISE Storage End Date]])=2025,TRUE,FALSE),FALSE)</f>
        <v>0</v>
      </c>
      <c r="Z380" s="11" t="b">
        <v>0</v>
      </c>
      <c r="AA380" s="13">
        <v>371</v>
      </c>
      <c r="AB380" s="13" t="s">
        <v>76</v>
      </c>
      <c r="AC380" s="13" t="s">
        <v>1781</v>
      </c>
      <c r="AD380" s="13" t="s">
        <v>1780</v>
      </c>
      <c r="AE380" s="13" t="s">
        <v>101</v>
      </c>
      <c r="AF380" s="13" t="s">
        <v>1782</v>
      </c>
      <c r="AG380" s="13" t="s">
        <v>91</v>
      </c>
      <c r="AH380" s="13" t="s">
        <v>102</v>
      </c>
      <c r="AI380" s="13" t="s">
        <v>103</v>
      </c>
      <c r="AJ380" s="13"/>
      <c r="AK380" s="15"/>
      <c r="AL380" s="15"/>
      <c r="AM380" s="15" t="s">
        <v>61</v>
      </c>
      <c r="AN380" s="15" t="s">
        <v>61</v>
      </c>
      <c r="AO380" s="15" t="s">
        <v>61</v>
      </c>
      <c r="AP380" s="15" t="s">
        <v>61</v>
      </c>
      <c r="AQ380" s="22"/>
      <c r="AR380" s="25"/>
      <c r="AS380" s="25"/>
      <c r="AT380" s="25"/>
      <c r="AU380" s="25"/>
      <c r="AV380" s="25"/>
      <c r="AW380" s="25"/>
      <c r="AX380" s="24"/>
    </row>
    <row r="381" spans="1:50" ht="16.5" customHeight="1">
      <c r="A381" s="36" t="s">
        <v>1783</v>
      </c>
      <c r="B381" s="28" t="s">
        <v>68</v>
      </c>
      <c r="C381" s="28" t="s">
        <v>86</v>
      </c>
      <c r="D381" s="28"/>
      <c r="E381" s="28" t="s">
        <v>70</v>
      </c>
      <c r="F381" s="28">
        <v>467</v>
      </c>
      <c r="G381" s="28">
        <v>3</v>
      </c>
      <c r="H381" s="28" t="str">
        <f>IF(ISNUMBER(Table810[[#This Row],[Total Capacity]]),"USBR Enterprise Asset Registry",IF(Table810[[#This Row],[Total Capacity]]="",""))</f>
        <v>USBR Enterprise Asset Registry</v>
      </c>
      <c r="I381" s="28" t="s">
        <v>57</v>
      </c>
      <c r="J381" s="28" t="s">
        <v>72</v>
      </c>
      <c r="K381" s="28"/>
      <c r="L381" s="50">
        <v>1017273</v>
      </c>
      <c r="M381" s="48"/>
      <c r="N381" s="50">
        <v>1017273</v>
      </c>
      <c r="O381" s="28"/>
      <c r="P381" s="37"/>
      <c r="Q381" s="28">
        <f>IF(OR(Table810[[#This Row],[Post-Review Decision]]="Include", Table810[[#This Row],[Post-Review Decision]]="Include if possible", Table810[[#This Row],[Post-Review Decision]]="Include (Omit % Avg if needed)",  Table810[[#This Row],[Post-Review Decision]]="Include (Omit % Avg)"),Table810[[#This Row],[EAR Total Capacity]],"")</f>
        <v>1017273</v>
      </c>
      <c r="R381" s="28">
        <v>985603</v>
      </c>
      <c r="S381" s="46">
        <v>1016717</v>
      </c>
      <c r="T381" s="28" t="s">
        <v>1783</v>
      </c>
      <c r="U381" s="28" t="s">
        <v>1784</v>
      </c>
      <c r="V381" s="13" t="s">
        <v>88</v>
      </c>
      <c r="W381" s="12" t="b">
        <f>ISNUMBER(Table810[[#This Row],[EAR Total Capacity]])</f>
        <v>1</v>
      </c>
      <c r="X381" s="12" t="b">
        <f>IF(Table810[[#This Row],[Has  Storage for Full Averaging Period?]]="OK",TRUE,FALSE)</f>
        <v>1</v>
      </c>
      <c r="Y381" s="12" t="b">
        <f>IFERROR(IF(YEAR(Table810[[#This Row],[RISE Storage End Date]])=2025,TRUE,FALSE),FALSE)</f>
        <v>1</v>
      </c>
      <c r="Z381" s="11" t="b">
        <v>0</v>
      </c>
      <c r="AA381" s="13">
        <v>372</v>
      </c>
      <c r="AB381" s="13" t="s">
        <v>76</v>
      </c>
      <c r="AC381" s="13" t="s">
        <v>1785</v>
      </c>
      <c r="AD381" s="13" t="s">
        <v>1783</v>
      </c>
      <c r="AE381" s="13" t="s">
        <v>78</v>
      </c>
      <c r="AF381" s="13" t="s">
        <v>1786</v>
      </c>
      <c r="AG381" s="13" t="s">
        <v>91</v>
      </c>
      <c r="AH381" s="13" t="s">
        <v>92</v>
      </c>
      <c r="AI381" s="13" t="s">
        <v>93</v>
      </c>
      <c r="AJ381" s="13">
        <v>1017273</v>
      </c>
      <c r="AK381" s="18"/>
      <c r="AL381" s="18"/>
      <c r="AM381" s="13" t="s">
        <v>1787</v>
      </c>
      <c r="AN381" s="13" t="s">
        <v>95</v>
      </c>
      <c r="AO381" s="13" t="s">
        <v>1783</v>
      </c>
      <c r="AP381" s="13" t="s">
        <v>1783</v>
      </c>
      <c r="AQ381" s="21" t="s">
        <v>64</v>
      </c>
      <c r="AR381" s="26">
        <v>16711</v>
      </c>
      <c r="AS381" s="26">
        <v>46007</v>
      </c>
      <c r="AT381" s="25">
        <v>29301</v>
      </c>
      <c r="AU381" s="25" t="s">
        <v>65</v>
      </c>
      <c r="AV381" s="25" t="s">
        <v>65</v>
      </c>
      <c r="AW381" s="25" t="s">
        <v>65</v>
      </c>
      <c r="AX381" s="24"/>
    </row>
    <row r="382" spans="1:50" ht="16.5" customHeight="1">
      <c r="A382" s="36" t="s">
        <v>1788</v>
      </c>
      <c r="B382" s="28"/>
      <c r="C382" s="28" t="s">
        <v>97</v>
      </c>
      <c r="D382" s="28"/>
      <c r="E382" s="28"/>
      <c r="F382" s="28" t="s">
        <v>61</v>
      </c>
      <c r="G382" s="28"/>
      <c r="H382" s="28" t="str">
        <f>IF(ISNUMBER(Table810[[#This Row],[Total Capacity]]),"USBR Enterprise Asset Registry",IF(Table810[[#This Row],[Total Capacity]]="",""))</f>
        <v/>
      </c>
      <c r="I382" s="28"/>
      <c r="J382" s="28"/>
      <c r="K382" s="28"/>
      <c r="L382" s="50" t="s">
        <v>98</v>
      </c>
      <c r="M382" s="48"/>
      <c r="N382" s="50" t="s">
        <v>98</v>
      </c>
      <c r="O382" s="28"/>
      <c r="P382" s="37"/>
      <c r="Q382" s="28" t="str">
        <f>IF(OR(Table810[[#This Row],[Post-Review Decision]]="Include", Table810[[#This Row],[Post-Review Decision]]="Include if possible", Table810[[#This Row],[Post-Review Decision]]="Include (Omit % Avg if needed)",  Table810[[#This Row],[Post-Review Decision]]="Include (Omit % Avg)"),Table810[[#This Row],[EAR Total Capacity]],"")</f>
        <v/>
      </c>
      <c r="R382" s="28">
        <v>7292</v>
      </c>
      <c r="S382" s="46">
        <v>11984</v>
      </c>
      <c r="T382" s="28"/>
      <c r="U382" s="28"/>
      <c r="V382" s="13" t="s">
        <v>1789</v>
      </c>
      <c r="W382" s="12" t="b">
        <f>ISNUMBER(Table810[[#This Row],[EAR Total Capacity]])</f>
        <v>1</v>
      </c>
      <c r="X382" s="12" t="b">
        <f>IF(Table810[[#This Row],[Has  Storage for Full Averaging Period?]]="OK",TRUE,FALSE)</f>
        <v>0</v>
      </c>
      <c r="Y382" s="12" t="b">
        <f>IFERROR(IF(YEAR(Table810[[#This Row],[RISE Storage End Date]])=2025,TRUE,FALSE),FALSE)</f>
        <v>0</v>
      </c>
      <c r="Z382" s="11" t="b">
        <v>0</v>
      </c>
      <c r="AA382" s="13">
        <v>373</v>
      </c>
      <c r="AB382" s="13" t="s">
        <v>76</v>
      </c>
      <c r="AC382" s="13" t="s">
        <v>1790</v>
      </c>
      <c r="AD382" s="13" t="s">
        <v>1788</v>
      </c>
      <c r="AE382" s="13" t="s">
        <v>78</v>
      </c>
      <c r="AF382" s="13" t="s">
        <v>1791</v>
      </c>
      <c r="AG382" s="13" t="s">
        <v>179</v>
      </c>
      <c r="AH382" s="13" t="s">
        <v>180</v>
      </c>
      <c r="AI382" s="13" t="s">
        <v>82</v>
      </c>
      <c r="AJ382" s="13">
        <v>13836</v>
      </c>
      <c r="AK382" s="15"/>
      <c r="AL382" s="15"/>
      <c r="AM382" s="15" t="s">
        <v>61</v>
      </c>
      <c r="AN382" s="15" t="s">
        <v>61</v>
      </c>
      <c r="AO382" s="15" t="s">
        <v>61</v>
      </c>
      <c r="AP382" s="15" t="s">
        <v>61</v>
      </c>
      <c r="AQ382" s="21" t="s">
        <v>136</v>
      </c>
      <c r="AR382" s="25"/>
      <c r="AS382" s="25"/>
      <c r="AT382" s="25"/>
      <c r="AU382" s="25"/>
      <c r="AV382" s="25"/>
      <c r="AW382" s="25"/>
      <c r="AX382" s="24"/>
    </row>
    <row r="383" spans="1:50" ht="16.5" customHeight="1">
      <c r="A383" s="36" t="s">
        <v>1792</v>
      </c>
      <c r="B383" s="28" t="s">
        <v>68</v>
      </c>
      <c r="C383" s="28" t="s">
        <v>86</v>
      </c>
      <c r="D383" s="28"/>
      <c r="E383" s="28" t="s">
        <v>70</v>
      </c>
      <c r="F383" s="28">
        <v>476</v>
      </c>
      <c r="G383" s="28">
        <v>3</v>
      </c>
      <c r="H383" s="28" t="str">
        <f>IF(ISNUMBER(Table810[[#This Row],[Total Capacity]]),"USBR Enterprise Asset Registry",IF(Table810[[#This Row],[Total Capacity]]="",""))</f>
        <v>USBR Enterprise Asset Registry</v>
      </c>
      <c r="I383" s="28" t="s">
        <v>71</v>
      </c>
      <c r="J383" s="28" t="s">
        <v>127</v>
      </c>
      <c r="K383" s="28">
        <v>230004</v>
      </c>
      <c r="L383" s="50">
        <v>76303</v>
      </c>
      <c r="M383" s="48"/>
      <c r="N383" s="50">
        <v>76303</v>
      </c>
      <c r="O383" s="28"/>
      <c r="P383" s="37"/>
      <c r="Q383" s="28">
        <f>IF(OR(Table810[[#This Row],[Post-Review Decision]]="Include", Table810[[#This Row],[Post-Review Decision]]="Include if possible", Table810[[#This Row],[Post-Review Decision]]="Include (Omit % Avg if needed)",  Table810[[#This Row],[Post-Review Decision]]="Include (Omit % Avg)"),Table810[[#This Row],[EAR Total Capacity]],"")</f>
        <v>350176</v>
      </c>
      <c r="R383" s="28">
        <v>306307</v>
      </c>
      <c r="S383" s="46">
        <v>306307</v>
      </c>
      <c r="T383" s="28" t="s">
        <v>1792</v>
      </c>
      <c r="U383" s="28" t="s">
        <v>1793</v>
      </c>
      <c r="V383" s="13" t="s">
        <v>1794</v>
      </c>
      <c r="W383" s="12" t="b">
        <f>ISNUMBER(Table810[[#This Row],[EAR Total Capacity]])</f>
        <v>1</v>
      </c>
      <c r="X383" s="12" t="b">
        <f>IF(Table810[[#This Row],[Has  Storage for Full Averaging Period?]]="OK",TRUE,FALSE)</f>
        <v>1</v>
      </c>
      <c r="Y383" s="12" t="b">
        <f>IFERROR(IF(YEAR(Table810[[#This Row],[RISE Storage End Date]])=2025,TRUE,FALSE),FALSE)</f>
        <v>1</v>
      </c>
      <c r="Z383" s="11" t="b">
        <v>0</v>
      </c>
      <c r="AA383" s="13">
        <v>374</v>
      </c>
      <c r="AB383" s="13" t="s">
        <v>76</v>
      </c>
      <c r="AC383" s="13" t="s">
        <v>1795</v>
      </c>
      <c r="AD383" s="13" t="s">
        <v>1792</v>
      </c>
      <c r="AE383" s="13" t="s">
        <v>78</v>
      </c>
      <c r="AF383" s="13" t="s">
        <v>1796</v>
      </c>
      <c r="AG383" s="13" t="s">
        <v>109</v>
      </c>
      <c r="AH383" s="13" t="s">
        <v>92</v>
      </c>
      <c r="AI383" s="13" t="s">
        <v>93</v>
      </c>
      <c r="AJ383" s="13">
        <v>350176</v>
      </c>
      <c r="AK383" s="18"/>
      <c r="AL383" s="18"/>
      <c r="AM383" s="13" t="s">
        <v>1797</v>
      </c>
      <c r="AN383" s="13" t="s">
        <v>95</v>
      </c>
      <c r="AO383" s="13" t="s">
        <v>1792</v>
      </c>
      <c r="AP383" s="13" t="s">
        <v>1792</v>
      </c>
      <c r="AQ383" s="21" t="s">
        <v>64</v>
      </c>
      <c r="AR383" s="26">
        <v>18902</v>
      </c>
      <c r="AS383" s="26">
        <v>46007</v>
      </c>
      <c r="AT383" s="25">
        <v>27107</v>
      </c>
      <c r="AU383" s="25" t="s">
        <v>65</v>
      </c>
      <c r="AV383" s="25" t="s">
        <v>65</v>
      </c>
      <c r="AW383" s="25" t="s">
        <v>65</v>
      </c>
      <c r="AX383" s="24"/>
    </row>
    <row r="384" spans="1:50" ht="16.5" customHeight="1">
      <c r="A384" s="36" t="s">
        <v>1798</v>
      </c>
      <c r="B384" s="28" t="s">
        <v>68</v>
      </c>
      <c r="C384" s="28" t="s">
        <v>86</v>
      </c>
      <c r="D384" s="28"/>
      <c r="E384" s="28" t="s">
        <v>70</v>
      </c>
      <c r="F384" s="28">
        <v>473</v>
      </c>
      <c r="G384" s="28">
        <v>3</v>
      </c>
      <c r="H384" s="28" t="str">
        <f>IF(ISNUMBER(Table810[[#This Row],[Total Capacity]]),"USBR Enterprise Asset Registry",IF(Table810[[#This Row],[Total Capacity]]="",""))</f>
        <v>USBR Enterprise Asset Registry</v>
      </c>
      <c r="I384" s="28" t="s">
        <v>57</v>
      </c>
      <c r="J384" s="28" t="s">
        <v>72</v>
      </c>
      <c r="K384" s="28"/>
      <c r="L384" s="50">
        <v>18369</v>
      </c>
      <c r="M384" s="48"/>
      <c r="N384" s="50">
        <v>18369</v>
      </c>
      <c r="O384" s="28"/>
      <c r="P384" s="37"/>
      <c r="Q384" s="28">
        <f>IF(OR(Table810[[#This Row],[Post-Review Decision]]="Include", Table810[[#This Row],[Post-Review Decision]]="Include if possible", Table810[[#This Row],[Post-Review Decision]]="Include (Omit % Avg if needed)",  Table810[[#This Row],[Post-Review Decision]]="Include (Omit % Avg)"),Table810[[#This Row],[EAR Total Capacity]],"")</f>
        <v>18369</v>
      </c>
      <c r="R384" s="28">
        <v>1839</v>
      </c>
      <c r="S384" s="46">
        <v>17863</v>
      </c>
      <c r="T384" s="28" t="s">
        <v>1798</v>
      </c>
      <c r="U384" s="28" t="s">
        <v>1799</v>
      </c>
      <c r="V384" s="13" t="s">
        <v>264</v>
      </c>
      <c r="W384" s="12" t="b">
        <f>ISNUMBER(Table810[[#This Row],[EAR Total Capacity]])</f>
        <v>1</v>
      </c>
      <c r="X384" s="12" t="b">
        <f>IF(Table810[[#This Row],[Has  Storage for Full Averaging Period?]]="OK",TRUE,FALSE)</f>
        <v>1</v>
      </c>
      <c r="Y384" s="12" t="b">
        <f>IFERROR(IF(YEAR(Table810[[#This Row],[RISE Storage End Date]])=2025,TRUE,FALSE),FALSE)</f>
        <v>1</v>
      </c>
      <c r="Z384" s="11" t="b">
        <v>0</v>
      </c>
      <c r="AA384" s="13">
        <v>375</v>
      </c>
      <c r="AB384" s="13" t="s">
        <v>76</v>
      </c>
      <c r="AC384" s="13" t="s">
        <v>1800</v>
      </c>
      <c r="AD384" s="13" t="s">
        <v>1798</v>
      </c>
      <c r="AE384" s="13" t="s">
        <v>78</v>
      </c>
      <c r="AF384" s="13" t="s">
        <v>1801</v>
      </c>
      <c r="AG384" s="13" t="s">
        <v>91</v>
      </c>
      <c r="AH384" s="13" t="s">
        <v>92</v>
      </c>
      <c r="AI384" s="13" t="s">
        <v>110</v>
      </c>
      <c r="AJ384" s="13">
        <v>18369</v>
      </c>
      <c r="AK384" s="18"/>
      <c r="AL384" s="18"/>
      <c r="AM384" s="13" t="s">
        <v>1802</v>
      </c>
      <c r="AN384" s="13" t="s">
        <v>63</v>
      </c>
      <c r="AO384" s="13" t="s">
        <v>1798</v>
      </c>
      <c r="AP384" s="13" t="s">
        <v>1798</v>
      </c>
      <c r="AQ384" s="21" t="s">
        <v>64</v>
      </c>
      <c r="AR384" s="26">
        <v>19633</v>
      </c>
      <c r="AS384" s="26">
        <v>46007</v>
      </c>
      <c r="AT384" s="25">
        <v>23861</v>
      </c>
      <c r="AU384" s="25" t="s">
        <v>65</v>
      </c>
      <c r="AV384" s="25" t="s">
        <v>65</v>
      </c>
      <c r="AW384" s="25" t="s">
        <v>65</v>
      </c>
      <c r="AX384" s="24"/>
    </row>
    <row r="385" spans="1:50" ht="16.5" customHeight="1">
      <c r="A385" s="36" t="s">
        <v>1803</v>
      </c>
      <c r="B385" s="28" t="s">
        <v>68</v>
      </c>
      <c r="C385" s="28" t="s">
        <v>86</v>
      </c>
      <c r="D385" s="28"/>
      <c r="E385" s="28" t="s">
        <v>70</v>
      </c>
      <c r="F385" s="28">
        <v>471</v>
      </c>
      <c r="G385" s="28">
        <v>3</v>
      </c>
      <c r="H385" s="28" t="str">
        <f>IF(ISNUMBER(Table810[[#This Row],[Total Capacity]]),"USBR Enterprise Asset Registry",IF(Table810[[#This Row],[Total Capacity]]="",""))</f>
        <v>USBR Enterprise Asset Registry</v>
      </c>
      <c r="I385" s="28" t="s">
        <v>57</v>
      </c>
      <c r="J385" s="28"/>
      <c r="K385" s="28"/>
      <c r="L385" s="50">
        <v>4552090</v>
      </c>
      <c r="M385" s="48"/>
      <c r="N385" s="50">
        <v>4552090</v>
      </c>
      <c r="O385" s="28"/>
      <c r="P385" s="37"/>
      <c r="Q385" s="28">
        <f>IF(OR(Table810[[#This Row],[Post-Review Decision]]="Include", Table810[[#This Row],[Post-Review Decision]]="Include if possible", Table810[[#This Row],[Post-Review Decision]]="Include (Omit % Avg if needed)",  Table810[[#This Row],[Post-Review Decision]]="Include (Omit % Avg)"),Table810[[#This Row],[EAR Total Capacity]],"")</f>
        <v>4552090</v>
      </c>
      <c r="R385" s="28">
        <v>3964960</v>
      </c>
      <c r="S385" s="46">
        <v>4436300</v>
      </c>
      <c r="T385" s="28" t="s">
        <v>1803</v>
      </c>
      <c r="U385" s="28" t="s">
        <v>1804</v>
      </c>
      <c r="V385" s="13" t="s">
        <v>358</v>
      </c>
      <c r="W385" s="12" t="b">
        <f>ISNUMBER(Table810[[#This Row],[EAR Total Capacity]])</f>
        <v>1</v>
      </c>
      <c r="X385" s="12" t="b">
        <f>IF(Table810[[#This Row],[Has  Storage for Full Averaging Period?]]="OK",TRUE,FALSE)</f>
        <v>1</v>
      </c>
      <c r="Y385" s="12" t="b">
        <f>IFERROR(IF(YEAR(Table810[[#This Row],[RISE Storage End Date]])=2025,TRUE,FALSE),FALSE)</f>
        <v>1</v>
      </c>
      <c r="Z385" s="11" t="b">
        <v>0</v>
      </c>
      <c r="AA385" s="13">
        <v>834</v>
      </c>
      <c r="AB385" s="13" t="s">
        <v>76</v>
      </c>
      <c r="AC385" s="13" t="s">
        <v>1805</v>
      </c>
      <c r="AD385" s="13" t="s">
        <v>1803</v>
      </c>
      <c r="AE385" s="13" t="s">
        <v>78</v>
      </c>
      <c r="AF385" s="13" t="s">
        <v>1806</v>
      </c>
      <c r="AG385" s="13" t="s">
        <v>159</v>
      </c>
      <c r="AH385" s="13" t="s">
        <v>160</v>
      </c>
      <c r="AI385" s="13" t="s">
        <v>93</v>
      </c>
      <c r="AJ385" s="13">
        <v>4552090</v>
      </c>
      <c r="AK385" s="18"/>
      <c r="AL385" s="18"/>
      <c r="AM385" s="13" t="s">
        <v>1807</v>
      </c>
      <c r="AN385" s="13" t="s">
        <v>246</v>
      </c>
      <c r="AO385" s="13" t="s">
        <v>1803</v>
      </c>
      <c r="AP385" s="13" t="s">
        <v>1803</v>
      </c>
      <c r="AQ385" s="21" t="s">
        <v>64</v>
      </c>
      <c r="AR385" s="26">
        <v>16070</v>
      </c>
      <c r="AS385" s="26">
        <v>46007</v>
      </c>
      <c r="AT385" s="25">
        <v>29939</v>
      </c>
      <c r="AU385" s="25" t="s">
        <v>65</v>
      </c>
      <c r="AV385" s="25" t="s">
        <v>65</v>
      </c>
      <c r="AW385" s="25" t="s">
        <v>65</v>
      </c>
      <c r="AX385" s="24"/>
    </row>
    <row r="386" spans="1:50" ht="16.5" customHeight="1">
      <c r="A386" s="36" t="s">
        <v>1808</v>
      </c>
      <c r="B386" s="28"/>
      <c r="C386" s="28" t="s">
        <v>97</v>
      </c>
      <c r="D386" s="28"/>
      <c r="E386" s="28"/>
      <c r="F386" s="28" t="s">
        <v>61</v>
      </c>
      <c r="G386" s="28"/>
      <c r="H386" s="28" t="str">
        <f>IF(ISNUMBER(Table810[[#This Row],[Total Capacity]]),"USBR Enterprise Asset Registry",IF(Table810[[#This Row],[Total Capacity]]="",""))</f>
        <v/>
      </c>
      <c r="I386" s="28"/>
      <c r="J386" s="28"/>
      <c r="K386" s="28"/>
      <c r="L386" s="50" t="s">
        <v>98</v>
      </c>
      <c r="M386" s="48"/>
      <c r="N386" s="50" t="s">
        <v>98</v>
      </c>
      <c r="O386" s="28"/>
      <c r="P386" s="37"/>
      <c r="Q386" s="28" t="str">
        <f>IF(OR(Table810[[#This Row],[Post-Review Decision]]="Include", Table810[[#This Row],[Post-Review Decision]]="Include if possible", Table810[[#This Row],[Post-Review Decision]]="Include (Omit % Avg if needed)",  Table810[[#This Row],[Post-Review Decision]]="Include (Omit % Avg)"),Table810[[#This Row],[EAR Total Capacity]],"")</f>
        <v/>
      </c>
      <c r="R386" s="28"/>
      <c r="S386" s="45">
        <v>0</v>
      </c>
      <c r="T386" s="28"/>
      <c r="U386" s="28"/>
      <c r="V386" s="13" t="s">
        <v>438</v>
      </c>
      <c r="W386" s="12" t="b">
        <f>ISNUMBER(Table810[[#This Row],[EAR Total Capacity]])</f>
        <v>0</v>
      </c>
      <c r="X386" s="12" t="b">
        <f>IF(Table810[[#This Row],[Has  Storage for Full Averaging Period?]]="OK",TRUE,FALSE)</f>
        <v>0</v>
      </c>
      <c r="Y386" s="12" t="b">
        <f>IFERROR(IF(YEAR(Table810[[#This Row],[RISE Storage End Date]])=2025,TRUE,FALSE),FALSE)</f>
        <v>0</v>
      </c>
      <c r="Z386" s="11" t="b">
        <v>0</v>
      </c>
      <c r="AA386" s="13">
        <v>377</v>
      </c>
      <c r="AB386" s="13" t="s">
        <v>76</v>
      </c>
      <c r="AC386" s="13" t="s">
        <v>1809</v>
      </c>
      <c r="AD386" s="13" t="s">
        <v>1808</v>
      </c>
      <c r="AE386" s="13" t="s">
        <v>78</v>
      </c>
      <c r="AF386" s="13" t="s">
        <v>1810</v>
      </c>
      <c r="AG386" s="13" t="s">
        <v>159</v>
      </c>
      <c r="AH386" s="13" t="s">
        <v>160</v>
      </c>
      <c r="AI386" s="13" t="s">
        <v>82</v>
      </c>
      <c r="AJ386" s="13"/>
      <c r="AK386" s="15"/>
      <c r="AL386" s="15"/>
      <c r="AM386" s="15" t="s">
        <v>61</v>
      </c>
      <c r="AN386" s="15" t="s">
        <v>61</v>
      </c>
      <c r="AO386" s="15" t="s">
        <v>61</v>
      </c>
      <c r="AP386" s="15" t="s">
        <v>61</v>
      </c>
      <c r="AQ386" s="21" t="s">
        <v>136</v>
      </c>
      <c r="AR386" s="25"/>
      <c r="AS386" s="25"/>
      <c r="AT386" s="25"/>
      <c r="AU386" s="25"/>
      <c r="AV386" s="25"/>
      <c r="AW386" s="25"/>
      <c r="AX386" s="24"/>
    </row>
    <row r="387" spans="1:50" ht="16.5" customHeight="1">
      <c r="A387" s="36" t="s">
        <v>1811</v>
      </c>
      <c r="B387" s="28" t="s">
        <v>68</v>
      </c>
      <c r="C387" s="28" t="s">
        <v>86</v>
      </c>
      <c r="D387" s="28"/>
      <c r="E387" s="28" t="s">
        <v>70</v>
      </c>
      <c r="F387" s="28">
        <v>475</v>
      </c>
      <c r="G387" s="28">
        <v>3</v>
      </c>
      <c r="H387" s="28" t="str">
        <f>IF(ISNUMBER(Table810[[#This Row],[Total Capacity]]),"USBR Enterprise Asset Registry",IF(Table810[[#This Row],[Total Capacity]]="",""))</f>
        <v>USBR Enterprise Asset Registry</v>
      </c>
      <c r="I387" s="28" t="s">
        <v>57</v>
      </c>
      <c r="J387" s="28" t="s">
        <v>72</v>
      </c>
      <c r="K387" s="28"/>
      <c r="L387" s="50">
        <v>66147</v>
      </c>
      <c r="M387" s="48"/>
      <c r="N387" s="50">
        <v>66147</v>
      </c>
      <c r="O387" s="28"/>
      <c r="P387" s="37"/>
      <c r="Q387" s="28">
        <f>IF(OR(Table810[[#This Row],[Post-Review Decision]]="Include", Table810[[#This Row],[Post-Review Decision]]="Include if possible", Table810[[#This Row],[Post-Review Decision]]="Include (Omit % Avg if needed)",  Table810[[#This Row],[Post-Review Decision]]="Include (Omit % Avg)"),Table810[[#This Row],[EAR Total Capacity]],"")</f>
        <v>66147</v>
      </c>
      <c r="R387" s="28">
        <v>64248</v>
      </c>
      <c r="S387" s="46">
        <v>64248</v>
      </c>
      <c r="T387" s="28" t="s">
        <v>1812</v>
      </c>
      <c r="U387" s="28" t="s">
        <v>1813</v>
      </c>
      <c r="V387" s="13" t="s">
        <v>656</v>
      </c>
      <c r="W387" s="12" t="b">
        <f>ISNUMBER(Table810[[#This Row],[EAR Total Capacity]])</f>
        <v>1</v>
      </c>
      <c r="X387" s="12" t="b">
        <f>IF(Table810[[#This Row],[Has  Storage for Full Averaging Period?]]="OK",TRUE,FALSE)</f>
        <v>1</v>
      </c>
      <c r="Y387" s="12" t="b">
        <f>IFERROR(IF(YEAR(Table810[[#This Row],[RISE Storage End Date]])=2025,TRUE,FALSE),FALSE)</f>
        <v>1</v>
      </c>
      <c r="Z387" s="11" t="b">
        <v>0</v>
      </c>
      <c r="AA387" s="13">
        <v>230</v>
      </c>
      <c r="AB387" s="13" t="s">
        <v>76</v>
      </c>
      <c r="AC387" s="13" t="s">
        <v>1814</v>
      </c>
      <c r="AD387" s="13" t="s">
        <v>1811</v>
      </c>
      <c r="AE387" s="13" t="s">
        <v>78</v>
      </c>
      <c r="AF387" s="13" t="s">
        <v>1815</v>
      </c>
      <c r="AG387" s="13" t="s">
        <v>109</v>
      </c>
      <c r="AH387" s="13" t="s">
        <v>92</v>
      </c>
      <c r="AI387" s="13" t="s">
        <v>93</v>
      </c>
      <c r="AJ387" s="14">
        <v>66147</v>
      </c>
      <c r="AK387" s="18"/>
      <c r="AL387" s="18"/>
      <c r="AM387" s="13" t="s">
        <v>1816</v>
      </c>
      <c r="AN387" s="13" t="s">
        <v>95</v>
      </c>
      <c r="AO387" s="13" t="s">
        <v>1811</v>
      </c>
      <c r="AP387" s="13" t="s">
        <v>1811</v>
      </c>
      <c r="AQ387" s="21" t="s">
        <v>64</v>
      </c>
      <c r="AR387" s="26">
        <v>9041</v>
      </c>
      <c r="AS387" s="26">
        <v>46007</v>
      </c>
      <c r="AT387" s="25">
        <v>36987</v>
      </c>
      <c r="AU387" s="25" t="s">
        <v>65</v>
      </c>
      <c r="AV387" s="25" t="s">
        <v>65</v>
      </c>
      <c r="AW387" s="25" t="s">
        <v>65</v>
      </c>
      <c r="AX387" s="24"/>
    </row>
    <row r="388" spans="1:50" ht="16.5" customHeight="1">
      <c r="A388" s="36" t="s">
        <v>1817</v>
      </c>
      <c r="B388" s="28"/>
      <c r="C388" s="28" t="s">
        <v>97</v>
      </c>
      <c r="D388" s="28"/>
      <c r="E388" s="28"/>
      <c r="F388" s="28">
        <v>3712</v>
      </c>
      <c r="G388" s="28"/>
      <c r="H388" s="28" t="str">
        <f>IF(ISNUMBER(Table810[[#This Row],[Total Capacity]]),"USBR Enterprise Asset Registry",IF(Table810[[#This Row],[Total Capacity]]="",""))</f>
        <v/>
      </c>
      <c r="I388" s="28"/>
      <c r="J388" s="28"/>
      <c r="K388" s="28"/>
      <c r="L388" s="50" t="s">
        <v>98</v>
      </c>
      <c r="M388" s="48"/>
      <c r="N388" s="50" t="s">
        <v>98</v>
      </c>
      <c r="O388" s="28"/>
      <c r="P388" s="37"/>
      <c r="Q388" s="28" t="str">
        <f>IF(OR(Table810[[#This Row],[Post-Review Decision]]="Include", Table810[[#This Row],[Post-Review Decision]]="Include if possible", Table810[[#This Row],[Post-Review Decision]]="Include (Omit % Avg if needed)",  Table810[[#This Row],[Post-Review Decision]]="Include (Omit % Avg)"),Table810[[#This Row],[EAR Total Capacity]],"")</f>
        <v/>
      </c>
      <c r="R388" s="28"/>
      <c r="S388" s="45" t="s">
        <v>59</v>
      </c>
      <c r="T388" s="28"/>
      <c r="U388" s="28"/>
      <c r="V388" s="17" t="s">
        <v>61</v>
      </c>
      <c r="W388" s="12" t="b">
        <f>ISNUMBER(Table810[[#This Row],[EAR Total Capacity]])</f>
        <v>0</v>
      </c>
      <c r="X388" s="12" t="b">
        <f>IF(Table810[[#This Row],[Has  Storage for Full Averaging Period?]]="OK",TRUE,FALSE)</f>
        <v>0</v>
      </c>
      <c r="Y388" s="12" t="b">
        <f>IFERROR(IF(YEAR(Table810[[#This Row],[RISE Storage End Date]])=2025,TRUE,FALSE),FALSE)</f>
        <v>0</v>
      </c>
      <c r="Z388" s="11" t="b">
        <v>0</v>
      </c>
      <c r="AA388" s="16" t="s">
        <v>61</v>
      </c>
      <c r="AB388" s="17" t="s">
        <v>61</v>
      </c>
      <c r="AC388" s="17" t="s">
        <v>61</v>
      </c>
      <c r="AD388" s="17" t="s">
        <v>61</v>
      </c>
      <c r="AE388" s="17" t="s">
        <v>61</v>
      </c>
      <c r="AF388" s="17" t="s">
        <v>61</v>
      </c>
      <c r="AG388" s="17" t="s">
        <v>61</v>
      </c>
      <c r="AH388" s="17" t="s">
        <v>61</v>
      </c>
      <c r="AI388" s="17" t="s">
        <v>61</v>
      </c>
      <c r="AJ388" s="17" t="s">
        <v>61</v>
      </c>
      <c r="AK388" s="18"/>
      <c r="AL388" s="18"/>
      <c r="AM388" s="13" t="s">
        <v>1817</v>
      </c>
      <c r="AN388" s="11" t="s">
        <v>95</v>
      </c>
      <c r="AO388" s="11" t="s">
        <v>1817</v>
      </c>
      <c r="AP388" s="11" t="e">
        <v>#N/A</v>
      </c>
      <c r="AQ388" s="21" t="s">
        <v>136</v>
      </c>
      <c r="AR388" s="25"/>
      <c r="AS388" s="25"/>
      <c r="AT388" s="25"/>
      <c r="AU388" s="25"/>
      <c r="AV388" s="25"/>
      <c r="AW388" s="25"/>
      <c r="AX388" s="23"/>
    </row>
    <row r="389" spans="1:50" ht="16.5" customHeight="1">
      <c r="A389" s="36" t="s">
        <v>1818</v>
      </c>
      <c r="B389" s="28"/>
      <c r="C389" s="28" t="s">
        <v>97</v>
      </c>
      <c r="D389" s="28"/>
      <c r="E389" s="28"/>
      <c r="F389" s="28" t="s">
        <v>61</v>
      </c>
      <c r="G389" s="28"/>
      <c r="H389" s="28" t="str">
        <f>IF(ISNUMBER(Table810[[#This Row],[Total Capacity]]),"USBR Enterprise Asset Registry",IF(Table810[[#This Row],[Total Capacity]]="",""))</f>
        <v/>
      </c>
      <c r="I389" s="28"/>
      <c r="J389" s="28"/>
      <c r="K389" s="28"/>
      <c r="L389" s="50" t="s">
        <v>98</v>
      </c>
      <c r="M389" s="48"/>
      <c r="N389" s="50" t="s">
        <v>98</v>
      </c>
      <c r="O389" s="28"/>
      <c r="P389" s="37"/>
      <c r="Q389" s="28" t="str">
        <f>IF(OR(Table810[[#This Row],[Post-Review Decision]]="Include", Table810[[#This Row],[Post-Review Decision]]="Include if possible", Table810[[#This Row],[Post-Review Decision]]="Include (Omit % Avg if needed)",  Table810[[#This Row],[Post-Review Decision]]="Include (Omit % Avg)"),Table810[[#This Row],[EAR Total Capacity]],"")</f>
        <v/>
      </c>
      <c r="R389" s="28"/>
      <c r="S389" s="45">
        <v>0</v>
      </c>
      <c r="T389" s="28"/>
      <c r="U389" s="28"/>
      <c r="V389" s="13" t="s">
        <v>1689</v>
      </c>
      <c r="W389" s="12" t="b">
        <f>ISNUMBER(Table810[[#This Row],[EAR Total Capacity]])</f>
        <v>0</v>
      </c>
      <c r="X389" s="12" t="b">
        <f>IF(Table810[[#This Row],[Has  Storage for Full Averaging Period?]]="OK",TRUE,FALSE)</f>
        <v>0</v>
      </c>
      <c r="Y389" s="12" t="b">
        <f>IFERROR(IF(YEAR(Table810[[#This Row],[RISE Storage End Date]])=2025,TRUE,FALSE),FALSE)</f>
        <v>0</v>
      </c>
      <c r="Z389" s="11" t="b">
        <v>0</v>
      </c>
      <c r="AA389" s="13">
        <v>379</v>
      </c>
      <c r="AB389" s="13" t="s">
        <v>76</v>
      </c>
      <c r="AC389" s="13" t="s">
        <v>1819</v>
      </c>
      <c r="AD389" s="13" t="s">
        <v>1818</v>
      </c>
      <c r="AE389" s="13" t="s">
        <v>101</v>
      </c>
      <c r="AF389" s="13" t="s">
        <v>1818</v>
      </c>
      <c r="AG389" s="13" t="s">
        <v>91</v>
      </c>
      <c r="AH389" s="13" t="s">
        <v>102</v>
      </c>
      <c r="AI389" s="13" t="s">
        <v>103</v>
      </c>
      <c r="AJ389" s="13"/>
      <c r="AK389" s="15"/>
      <c r="AL389" s="15"/>
      <c r="AM389" s="15" t="s">
        <v>61</v>
      </c>
      <c r="AN389" s="15" t="s">
        <v>61</v>
      </c>
      <c r="AO389" s="15" t="s">
        <v>61</v>
      </c>
      <c r="AP389" s="15" t="s">
        <v>61</v>
      </c>
      <c r="AQ389" s="22"/>
      <c r="AR389" s="25"/>
      <c r="AS389" s="25"/>
      <c r="AT389" s="25"/>
      <c r="AU389" s="25"/>
      <c r="AV389" s="25"/>
      <c r="AW389" s="25"/>
      <c r="AX389" s="24"/>
    </row>
    <row r="390" spans="1:50" ht="16.5" customHeight="1">
      <c r="A390" s="36" t="s">
        <v>1820</v>
      </c>
      <c r="B390" s="28" t="s">
        <v>68</v>
      </c>
      <c r="C390" s="28" t="s">
        <v>86</v>
      </c>
      <c r="D390" s="28"/>
      <c r="E390" s="28" t="s">
        <v>70</v>
      </c>
      <c r="F390" s="28">
        <v>477</v>
      </c>
      <c r="G390" s="28">
        <v>3</v>
      </c>
      <c r="H390" s="28" t="str">
        <f>IF(ISNUMBER(Table810[[#This Row],[Total Capacity]]),"USBR Enterprise Asset Registry",IF(Table810[[#This Row],[Total Capacity]]="",""))</f>
        <v>USBR Enterprise Asset Registry</v>
      </c>
      <c r="I390" s="28" t="s">
        <v>57</v>
      </c>
      <c r="J390" s="28" t="s">
        <v>72</v>
      </c>
      <c r="K390" s="28"/>
      <c r="L390" s="50">
        <v>13520</v>
      </c>
      <c r="M390" s="48"/>
      <c r="N390" s="50">
        <v>13520</v>
      </c>
      <c r="O390" s="28"/>
      <c r="P390" s="37"/>
      <c r="Q390" s="28">
        <f>IF(OR(Table810[[#This Row],[Post-Review Decision]]="Include", Table810[[#This Row],[Post-Review Decision]]="Include if possible", Table810[[#This Row],[Post-Review Decision]]="Include (Omit % Avg if needed)",  Table810[[#This Row],[Post-Review Decision]]="Include (Omit % Avg)"),Table810[[#This Row],[EAR Total Capacity]],"")</f>
        <v>13520</v>
      </c>
      <c r="R390" s="28">
        <v>12820</v>
      </c>
      <c r="S390" s="46">
        <v>13000</v>
      </c>
      <c r="T390" s="28" t="s">
        <v>1820</v>
      </c>
      <c r="U390" s="28" t="s">
        <v>1821</v>
      </c>
      <c r="V390" s="13" t="s">
        <v>1822</v>
      </c>
      <c r="W390" s="12" t="b">
        <f>ISNUMBER(Table810[[#This Row],[EAR Total Capacity]])</f>
        <v>1</v>
      </c>
      <c r="X390" s="12" t="b">
        <f>IF(Table810[[#This Row],[Has  Storage for Full Averaging Period?]]="OK",TRUE,FALSE)</f>
        <v>1</v>
      </c>
      <c r="Y390" s="12" t="b">
        <f>IFERROR(IF(YEAR(Table810[[#This Row],[RISE Storage End Date]])=2025,TRUE,FALSE),FALSE)</f>
        <v>1</v>
      </c>
      <c r="Z390" s="11" t="b">
        <v>0</v>
      </c>
      <c r="AA390" s="13">
        <v>380</v>
      </c>
      <c r="AB390" s="13" t="s">
        <v>76</v>
      </c>
      <c r="AC390" s="13" t="s">
        <v>1823</v>
      </c>
      <c r="AD390" s="13" t="s">
        <v>1820</v>
      </c>
      <c r="AE390" s="13" t="s">
        <v>78</v>
      </c>
      <c r="AF390" s="13" t="s">
        <v>1824</v>
      </c>
      <c r="AG390" s="13" t="s">
        <v>91</v>
      </c>
      <c r="AH390" s="13" t="s">
        <v>102</v>
      </c>
      <c r="AI390" s="13" t="s">
        <v>93</v>
      </c>
      <c r="AJ390" s="13">
        <v>13520</v>
      </c>
      <c r="AK390" s="18"/>
      <c r="AL390" s="18"/>
      <c r="AM390" s="13" t="s">
        <v>1825</v>
      </c>
      <c r="AN390" s="13" t="s">
        <v>63</v>
      </c>
      <c r="AO390" s="13" t="s">
        <v>1820</v>
      </c>
      <c r="AP390" s="13" t="s">
        <v>1820</v>
      </c>
      <c r="AQ390" s="21" t="s">
        <v>64</v>
      </c>
      <c r="AR390" s="26">
        <v>26877</v>
      </c>
      <c r="AS390" s="26">
        <v>46007</v>
      </c>
      <c r="AT390" s="25">
        <v>19132</v>
      </c>
      <c r="AU390" s="25" t="s">
        <v>65</v>
      </c>
      <c r="AV390" s="25" t="s">
        <v>65</v>
      </c>
      <c r="AW390" s="25" t="s">
        <v>65</v>
      </c>
      <c r="AX390" s="24"/>
    </row>
    <row r="391" spans="1:50" ht="16.5" customHeight="1">
      <c r="A391" s="36" t="s">
        <v>1826</v>
      </c>
      <c r="B391" s="28"/>
      <c r="C391" s="28" t="s">
        <v>97</v>
      </c>
      <c r="D391" s="28"/>
      <c r="E391" s="28"/>
      <c r="F391" s="28" t="s">
        <v>61</v>
      </c>
      <c r="G391" s="28"/>
      <c r="H391" s="28" t="str">
        <f>IF(ISNUMBER(Table810[[#This Row],[Total Capacity]]),"USBR Enterprise Asset Registry",IF(Table810[[#This Row],[Total Capacity]]="",""))</f>
        <v/>
      </c>
      <c r="I391" s="28"/>
      <c r="J391" s="28"/>
      <c r="K391" s="28"/>
      <c r="L391" s="50" t="s">
        <v>98</v>
      </c>
      <c r="M391" s="48"/>
      <c r="N391" s="50" t="s">
        <v>98</v>
      </c>
      <c r="O391" s="28"/>
      <c r="P391" s="37"/>
      <c r="Q391" s="28" t="str">
        <f>IF(OR(Table810[[#This Row],[Post-Review Decision]]="Include", Table810[[#This Row],[Post-Review Decision]]="Include if possible", Table810[[#This Row],[Post-Review Decision]]="Include (Omit % Avg if needed)",  Table810[[#This Row],[Post-Review Decision]]="Include (Omit % Avg)"),Table810[[#This Row],[EAR Total Capacity]],"")</f>
        <v/>
      </c>
      <c r="R391" s="28"/>
      <c r="S391" s="45">
        <v>0</v>
      </c>
      <c r="T391" s="28"/>
      <c r="U391" s="28"/>
      <c r="V391" s="13" t="s">
        <v>465</v>
      </c>
      <c r="W391" s="12" t="b">
        <f>ISNUMBER(Table810[[#This Row],[EAR Total Capacity]])</f>
        <v>0</v>
      </c>
      <c r="X391" s="12" t="b">
        <f>IF(Table810[[#This Row],[Has  Storage for Full Averaging Period?]]="OK",TRUE,FALSE)</f>
        <v>0</v>
      </c>
      <c r="Y391" s="12" t="b">
        <f>IFERROR(IF(YEAR(Table810[[#This Row],[RISE Storage End Date]])=2025,TRUE,FALSE),FALSE)</f>
        <v>0</v>
      </c>
      <c r="Z391" s="11" t="b">
        <v>0</v>
      </c>
      <c r="AA391" s="13">
        <v>381</v>
      </c>
      <c r="AB391" s="13" t="s">
        <v>76</v>
      </c>
      <c r="AC391" s="13" t="s">
        <v>1827</v>
      </c>
      <c r="AD391" s="13" t="s">
        <v>1826</v>
      </c>
      <c r="AE391" s="13" t="s">
        <v>101</v>
      </c>
      <c r="AF391" s="13" t="s">
        <v>1828</v>
      </c>
      <c r="AG391" s="13" t="s">
        <v>91</v>
      </c>
      <c r="AH391" s="13" t="s">
        <v>102</v>
      </c>
      <c r="AI391" s="13" t="s">
        <v>103</v>
      </c>
      <c r="AJ391" s="13"/>
      <c r="AK391" s="15"/>
      <c r="AL391" s="15"/>
      <c r="AM391" s="15" t="s">
        <v>61</v>
      </c>
      <c r="AN391" s="15" t="s">
        <v>61</v>
      </c>
      <c r="AO391" s="15" t="s">
        <v>61</v>
      </c>
      <c r="AP391" s="15" t="s">
        <v>61</v>
      </c>
      <c r="AQ391" s="22"/>
      <c r="AR391" s="25"/>
      <c r="AS391" s="25"/>
      <c r="AT391" s="25"/>
      <c r="AU391" s="25"/>
      <c r="AV391" s="25"/>
      <c r="AW391" s="25"/>
      <c r="AX391" s="24"/>
    </row>
    <row r="392" spans="1:50" ht="16.5" customHeight="1">
      <c r="A392" s="36" t="s">
        <v>1829</v>
      </c>
      <c r="B392" s="28"/>
      <c r="C392" s="28" t="s">
        <v>97</v>
      </c>
      <c r="D392" s="28"/>
      <c r="E392" s="28"/>
      <c r="F392" s="28" t="s">
        <v>61</v>
      </c>
      <c r="G392" s="28"/>
      <c r="H392" s="28" t="str">
        <f>IF(ISNUMBER(Table810[[#This Row],[Total Capacity]]),"USBR Enterprise Asset Registry",IF(Table810[[#This Row],[Total Capacity]]="",""))</f>
        <v/>
      </c>
      <c r="I392" s="28"/>
      <c r="J392" s="28"/>
      <c r="K392" s="28"/>
      <c r="L392" s="50" t="s">
        <v>98</v>
      </c>
      <c r="M392" s="48"/>
      <c r="N392" s="50" t="s">
        <v>98</v>
      </c>
      <c r="O392" s="28"/>
      <c r="P392" s="37"/>
      <c r="Q392" s="28" t="str">
        <f>IF(OR(Table810[[#This Row],[Post-Review Decision]]="Include", Table810[[#This Row],[Post-Review Decision]]="Include if possible", Table810[[#This Row],[Post-Review Decision]]="Include (Omit % Avg if needed)",  Table810[[#This Row],[Post-Review Decision]]="Include (Omit % Avg)"),Table810[[#This Row],[EAR Total Capacity]],"")</f>
        <v/>
      </c>
      <c r="R392" s="28"/>
      <c r="S392" s="45">
        <v>0</v>
      </c>
      <c r="T392" s="28"/>
      <c r="U392" s="28"/>
      <c r="V392" s="13" t="s">
        <v>585</v>
      </c>
      <c r="W392" s="12" t="b">
        <f>ISNUMBER(Table810[[#This Row],[EAR Total Capacity]])</f>
        <v>0</v>
      </c>
      <c r="X392" s="12" t="b">
        <f>IF(Table810[[#This Row],[Has  Storage for Full Averaging Period?]]="OK",TRUE,FALSE)</f>
        <v>0</v>
      </c>
      <c r="Y392" s="12" t="b">
        <f>IFERROR(IF(YEAR(Table810[[#This Row],[RISE Storage End Date]])=2025,TRUE,FALSE),FALSE)</f>
        <v>0</v>
      </c>
      <c r="Z392" s="11" t="b">
        <v>0</v>
      </c>
      <c r="AA392" s="13">
        <v>382</v>
      </c>
      <c r="AB392" s="13" t="s">
        <v>76</v>
      </c>
      <c r="AC392" s="13" t="s">
        <v>1830</v>
      </c>
      <c r="AD392" s="13" t="s">
        <v>1829</v>
      </c>
      <c r="AE392" s="13" t="s">
        <v>101</v>
      </c>
      <c r="AF392" s="13" t="s">
        <v>1829</v>
      </c>
      <c r="AG392" s="13" t="s">
        <v>91</v>
      </c>
      <c r="AH392" s="13" t="s">
        <v>102</v>
      </c>
      <c r="AI392" s="13" t="s">
        <v>103</v>
      </c>
      <c r="AJ392" s="13"/>
      <c r="AK392" s="15"/>
      <c r="AL392" s="15"/>
      <c r="AM392" s="15" t="s">
        <v>61</v>
      </c>
      <c r="AN392" s="15" t="s">
        <v>61</v>
      </c>
      <c r="AO392" s="15" t="s">
        <v>61</v>
      </c>
      <c r="AP392" s="15" t="s">
        <v>61</v>
      </c>
      <c r="AQ392" s="22"/>
      <c r="AR392" s="25"/>
      <c r="AS392" s="25"/>
      <c r="AT392" s="25"/>
      <c r="AU392" s="25"/>
      <c r="AV392" s="25"/>
      <c r="AW392" s="25"/>
      <c r="AX392" s="24"/>
    </row>
    <row r="393" spans="1:50" ht="16.5" customHeight="1">
      <c r="A393" s="36" t="s">
        <v>1831</v>
      </c>
      <c r="B393" s="28"/>
      <c r="C393" s="28" t="s">
        <v>97</v>
      </c>
      <c r="D393" s="28"/>
      <c r="E393" s="28"/>
      <c r="F393" s="28" t="s">
        <v>61</v>
      </c>
      <c r="G393" s="28"/>
      <c r="H393" s="28" t="str">
        <f>IF(ISNUMBER(Table810[[#This Row],[Total Capacity]]),"USBR Enterprise Asset Registry",IF(Table810[[#This Row],[Total Capacity]]="",""))</f>
        <v/>
      </c>
      <c r="I393" s="28"/>
      <c r="J393" s="28"/>
      <c r="K393" s="28"/>
      <c r="L393" s="50" t="s">
        <v>98</v>
      </c>
      <c r="M393" s="48"/>
      <c r="N393" s="50" t="s">
        <v>98</v>
      </c>
      <c r="O393" s="28"/>
      <c r="P393" s="37"/>
      <c r="Q393" s="28" t="str">
        <f>IF(OR(Table810[[#This Row],[Post-Review Decision]]="Include", Table810[[#This Row],[Post-Review Decision]]="Include if possible", Table810[[#This Row],[Post-Review Decision]]="Include (Omit % Avg if needed)",  Table810[[#This Row],[Post-Review Decision]]="Include (Omit % Avg)"),Table810[[#This Row],[EAR Total Capacity]],"")</f>
        <v/>
      </c>
      <c r="R393" s="28"/>
      <c r="S393" s="45">
        <v>0</v>
      </c>
      <c r="T393" s="28"/>
      <c r="U393" s="28"/>
      <c r="V393" s="13" t="s">
        <v>346</v>
      </c>
      <c r="W393" s="12" t="b">
        <f>ISNUMBER(Table810[[#This Row],[EAR Total Capacity]])</f>
        <v>0</v>
      </c>
      <c r="X393" s="12" t="b">
        <f>IF(Table810[[#This Row],[Has  Storage for Full Averaging Period?]]="OK",TRUE,FALSE)</f>
        <v>0</v>
      </c>
      <c r="Y393" s="12" t="b">
        <f>IFERROR(IF(YEAR(Table810[[#This Row],[RISE Storage End Date]])=2025,TRUE,FALSE),FALSE)</f>
        <v>0</v>
      </c>
      <c r="Z393" s="11" t="b">
        <v>0</v>
      </c>
      <c r="AA393" s="13">
        <v>383</v>
      </c>
      <c r="AB393" s="13" t="s">
        <v>76</v>
      </c>
      <c r="AC393" s="13" t="s">
        <v>1832</v>
      </c>
      <c r="AD393" s="13" t="s">
        <v>1831</v>
      </c>
      <c r="AE393" s="13" t="s">
        <v>101</v>
      </c>
      <c r="AF393" s="13" t="s">
        <v>1833</v>
      </c>
      <c r="AG393" s="13" t="s">
        <v>133</v>
      </c>
      <c r="AH393" s="13" t="s">
        <v>92</v>
      </c>
      <c r="AI393" s="13" t="s">
        <v>93</v>
      </c>
      <c r="AJ393" s="13"/>
      <c r="AK393" s="15"/>
      <c r="AL393" s="15"/>
      <c r="AM393" s="15" t="s">
        <v>61</v>
      </c>
      <c r="AN393" s="15" t="s">
        <v>61</v>
      </c>
      <c r="AO393" s="15" t="s">
        <v>61</v>
      </c>
      <c r="AP393" s="15" t="s">
        <v>61</v>
      </c>
      <c r="AQ393" s="22"/>
      <c r="AR393" s="25"/>
      <c r="AS393" s="25"/>
      <c r="AT393" s="25"/>
      <c r="AU393" s="25"/>
      <c r="AV393" s="25"/>
      <c r="AW393" s="25"/>
      <c r="AX393" s="24"/>
    </row>
    <row r="394" spans="1:50" ht="16.5" customHeight="1">
      <c r="A394" s="36" t="s">
        <v>1834</v>
      </c>
      <c r="B394" s="28"/>
      <c r="C394" s="28" t="s">
        <v>97</v>
      </c>
      <c r="D394" s="28"/>
      <c r="E394" s="28"/>
      <c r="F394" s="28" t="s">
        <v>61</v>
      </c>
      <c r="G394" s="28"/>
      <c r="H394" s="28" t="str">
        <f>IF(ISNUMBER(Table810[[#This Row],[Total Capacity]]),"USBR Enterprise Asset Registry",IF(Table810[[#This Row],[Total Capacity]]="",""))</f>
        <v/>
      </c>
      <c r="I394" s="28"/>
      <c r="J394" s="28"/>
      <c r="K394" s="28"/>
      <c r="L394" s="50" t="s">
        <v>98</v>
      </c>
      <c r="M394" s="48"/>
      <c r="N394" s="50" t="s">
        <v>98</v>
      </c>
      <c r="O394" s="28"/>
      <c r="P394" s="37"/>
      <c r="Q394" s="28" t="str">
        <f>IF(OR(Table810[[#This Row],[Post-Review Decision]]="Include", Table810[[#This Row],[Post-Review Decision]]="Include if possible", Table810[[#This Row],[Post-Review Decision]]="Include (Omit % Avg if needed)",  Table810[[#This Row],[Post-Review Decision]]="Include (Omit % Avg)"),Table810[[#This Row],[EAR Total Capacity]],"")</f>
        <v/>
      </c>
      <c r="R394" s="28"/>
      <c r="S394" s="45">
        <v>4400</v>
      </c>
      <c r="T394" s="28"/>
      <c r="U394" s="28"/>
      <c r="V394" s="13" t="s">
        <v>206</v>
      </c>
      <c r="W394" s="12" t="b">
        <f>ISNUMBER(Table810[[#This Row],[EAR Total Capacity]])</f>
        <v>1</v>
      </c>
      <c r="X394" s="12" t="b">
        <f>IF(Table810[[#This Row],[Has  Storage for Full Averaging Period?]]="OK",TRUE,FALSE)</f>
        <v>0</v>
      </c>
      <c r="Y394" s="12" t="b">
        <f>IFERROR(IF(YEAR(Table810[[#This Row],[RISE Storage End Date]])=2025,TRUE,FALSE),FALSE)</f>
        <v>0</v>
      </c>
      <c r="Z394" s="11" t="b">
        <v>0</v>
      </c>
      <c r="AA394" s="13">
        <v>385</v>
      </c>
      <c r="AB394" s="13" t="s">
        <v>76</v>
      </c>
      <c r="AC394" s="13" t="s">
        <v>1835</v>
      </c>
      <c r="AD394" s="13" t="s">
        <v>1834</v>
      </c>
      <c r="AE394" s="13" t="s">
        <v>78</v>
      </c>
      <c r="AF394" s="13" t="s">
        <v>1836</v>
      </c>
      <c r="AG394" s="13" t="s">
        <v>80</v>
      </c>
      <c r="AH394" s="13" t="s">
        <v>81</v>
      </c>
      <c r="AI394" s="13" t="s">
        <v>110</v>
      </c>
      <c r="AJ394" s="13">
        <v>10150</v>
      </c>
      <c r="AK394" s="15"/>
      <c r="AL394" s="15"/>
      <c r="AM394" s="15" t="s">
        <v>61</v>
      </c>
      <c r="AN394" s="15" t="s">
        <v>61</v>
      </c>
      <c r="AO394" s="15" t="s">
        <v>61</v>
      </c>
      <c r="AP394" s="15" t="s">
        <v>61</v>
      </c>
      <c r="AQ394" s="21" t="s">
        <v>136</v>
      </c>
      <c r="AR394" s="25"/>
      <c r="AS394" s="25"/>
      <c r="AT394" s="25"/>
      <c r="AU394" s="25"/>
      <c r="AV394" s="25"/>
      <c r="AW394" s="25"/>
      <c r="AX394" s="24"/>
    </row>
    <row r="395" spans="1:50" ht="16.5" customHeight="1">
      <c r="A395" s="36" t="s">
        <v>1837</v>
      </c>
      <c r="B395" s="28"/>
      <c r="C395" s="28" t="s">
        <v>97</v>
      </c>
      <c r="D395" s="28"/>
      <c r="E395" s="28"/>
      <c r="F395" s="28" t="s">
        <v>61</v>
      </c>
      <c r="G395" s="28"/>
      <c r="H395" s="28" t="str">
        <f>IF(ISNUMBER(Table810[[#This Row],[Total Capacity]]),"USBR Enterprise Asset Registry",IF(Table810[[#This Row],[Total Capacity]]="",""))</f>
        <v/>
      </c>
      <c r="I395" s="28"/>
      <c r="J395" s="28"/>
      <c r="K395" s="28"/>
      <c r="L395" s="50" t="s">
        <v>98</v>
      </c>
      <c r="M395" s="48"/>
      <c r="N395" s="50" t="s">
        <v>98</v>
      </c>
      <c r="O395" s="28"/>
      <c r="P395" s="37"/>
      <c r="Q395" s="28" t="str">
        <f>IF(OR(Table810[[#This Row],[Post-Review Decision]]="Include", Table810[[#This Row],[Post-Review Decision]]="Include if possible", Table810[[#This Row],[Post-Review Decision]]="Include (Omit % Avg if needed)",  Table810[[#This Row],[Post-Review Decision]]="Include (Omit % Avg)"),Table810[[#This Row],[EAR Total Capacity]],"")</f>
        <v/>
      </c>
      <c r="R395" s="28"/>
      <c r="S395" s="45">
        <v>0</v>
      </c>
      <c r="T395" s="28"/>
      <c r="U395" s="28"/>
      <c r="V395" s="13" t="s">
        <v>74</v>
      </c>
      <c r="W395" s="12" t="b">
        <f>ISNUMBER(Table810[[#This Row],[EAR Total Capacity]])</f>
        <v>0</v>
      </c>
      <c r="X395" s="12" t="b">
        <f>IF(Table810[[#This Row],[Has  Storage for Full Averaging Period?]]="OK",TRUE,FALSE)</f>
        <v>0</v>
      </c>
      <c r="Y395" s="12" t="b">
        <f>IFERROR(IF(YEAR(Table810[[#This Row],[RISE Storage End Date]])=2025,TRUE,FALSE),FALSE)</f>
        <v>0</v>
      </c>
      <c r="Z395" s="11" t="b">
        <v>0</v>
      </c>
      <c r="AA395" s="13">
        <v>384</v>
      </c>
      <c r="AB395" s="13" t="s">
        <v>76</v>
      </c>
      <c r="AC395" s="13" t="s">
        <v>1838</v>
      </c>
      <c r="AD395" s="13" t="s">
        <v>1837</v>
      </c>
      <c r="AE395" s="13" t="s">
        <v>101</v>
      </c>
      <c r="AF395" s="13" t="s">
        <v>1839</v>
      </c>
      <c r="AG395" s="13" t="s">
        <v>80</v>
      </c>
      <c r="AH395" s="13" t="s">
        <v>81</v>
      </c>
      <c r="AI395" s="13" t="s">
        <v>103</v>
      </c>
      <c r="AJ395" s="13"/>
      <c r="AK395" s="15"/>
      <c r="AL395" s="15"/>
      <c r="AM395" s="15" t="s">
        <v>61</v>
      </c>
      <c r="AN395" s="15" t="s">
        <v>61</v>
      </c>
      <c r="AO395" s="15" t="s">
        <v>61</v>
      </c>
      <c r="AP395" s="15" t="s">
        <v>61</v>
      </c>
      <c r="AQ395" s="22"/>
      <c r="AR395" s="25"/>
      <c r="AS395" s="25"/>
      <c r="AT395" s="25"/>
      <c r="AU395" s="25"/>
      <c r="AV395" s="25"/>
      <c r="AW395" s="25"/>
      <c r="AX395" s="24"/>
    </row>
    <row r="396" spans="1:50" ht="16.5" customHeight="1">
      <c r="A396" s="36" t="s">
        <v>1840</v>
      </c>
      <c r="B396" s="28" t="s">
        <v>68</v>
      </c>
      <c r="C396" s="28" t="s">
        <v>69</v>
      </c>
      <c r="D396" s="28"/>
      <c r="E396" s="28" t="s">
        <v>70</v>
      </c>
      <c r="F396" s="28">
        <v>7199</v>
      </c>
      <c r="G396" s="28">
        <v>3</v>
      </c>
      <c r="H396" s="28" t="str">
        <f>IF(ISNUMBER(Table810[[#This Row],[Total Capacity]]),"USBR Enterprise Asset Registry",IF(Table810[[#This Row],[Total Capacity]]="",""))</f>
        <v>USBR Enterprise Asset Registry</v>
      </c>
      <c r="I396" s="28" t="s">
        <v>71</v>
      </c>
      <c r="J396" s="28" t="s">
        <v>72</v>
      </c>
      <c r="K396" s="28"/>
      <c r="L396" s="50">
        <v>2370</v>
      </c>
      <c r="M396" s="48"/>
      <c r="N396" s="50">
        <v>2370</v>
      </c>
      <c r="O396" s="28"/>
      <c r="P396" s="37"/>
      <c r="Q396" s="28">
        <f>IF(OR(Table810[[#This Row],[Post-Review Decision]]="Include", Table810[[#This Row],[Post-Review Decision]]="Include if possible", Table810[[#This Row],[Post-Review Decision]]="Include (Omit % Avg if needed)",  Table810[[#This Row],[Post-Review Decision]]="Include (Omit % Avg)"),Table810[[#This Row],[EAR Total Capacity]],"")</f>
        <v>2370</v>
      </c>
      <c r="R396" s="28">
        <v>2370</v>
      </c>
      <c r="S396" s="46">
        <v>2366</v>
      </c>
      <c r="T396" s="28" t="s">
        <v>1840</v>
      </c>
      <c r="U396" s="28" t="s">
        <v>1841</v>
      </c>
      <c r="V396" s="13" t="s">
        <v>1170</v>
      </c>
      <c r="W396" s="12" t="b">
        <f>ISNUMBER(Table810[[#This Row],[EAR Total Capacity]])</f>
        <v>1</v>
      </c>
      <c r="X396" s="12" t="s">
        <v>75</v>
      </c>
      <c r="Y396" s="12" t="b">
        <f>IFERROR(IF(YEAR(Table810[[#This Row],[RISE Storage End Date]])=2025,TRUE,FALSE),FALSE)</f>
        <v>0</v>
      </c>
      <c r="Z396" s="11" t="b">
        <v>0</v>
      </c>
      <c r="AA396" s="13">
        <v>386</v>
      </c>
      <c r="AB396" s="13" t="s">
        <v>76</v>
      </c>
      <c r="AC396" s="13" t="s">
        <v>1842</v>
      </c>
      <c r="AD396" s="13" t="s">
        <v>1840</v>
      </c>
      <c r="AE396" s="13" t="s">
        <v>78</v>
      </c>
      <c r="AF396" s="13" t="s">
        <v>1843</v>
      </c>
      <c r="AG396" s="13" t="s">
        <v>80</v>
      </c>
      <c r="AH396" s="13" t="s">
        <v>81</v>
      </c>
      <c r="AI396" s="13" t="s">
        <v>93</v>
      </c>
      <c r="AJ396" s="19">
        <v>2370</v>
      </c>
      <c r="AK396" s="18"/>
      <c r="AL396" s="18"/>
      <c r="AM396" s="13" t="s">
        <v>1844</v>
      </c>
      <c r="AN396" s="13" t="s">
        <v>84</v>
      </c>
      <c r="AO396" s="13" t="s">
        <v>1840</v>
      </c>
      <c r="AP396" s="13" t="s">
        <v>1840</v>
      </c>
      <c r="AQ396" s="21" t="s">
        <v>64</v>
      </c>
      <c r="AR396" s="25"/>
      <c r="AS396" s="25"/>
      <c r="AT396" s="25"/>
      <c r="AU396" s="25"/>
      <c r="AV396" s="25"/>
      <c r="AW396" s="25"/>
      <c r="AX396" s="24"/>
    </row>
    <row r="397" spans="1:50" ht="16.5" customHeight="1">
      <c r="A397" s="36" t="s">
        <v>1845</v>
      </c>
      <c r="B397" s="28"/>
      <c r="C397" s="28" t="s">
        <v>97</v>
      </c>
      <c r="D397" s="28"/>
      <c r="E397" s="28"/>
      <c r="F397" s="28" t="s">
        <v>61</v>
      </c>
      <c r="G397" s="28"/>
      <c r="H397" s="28" t="str">
        <f>IF(ISNUMBER(Table810[[#This Row],[Total Capacity]]),"USBR Enterprise Asset Registry",IF(Table810[[#This Row],[Total Capacity]]="",""))</f>
        <v/>
      </c>
      <c r="I397" s="28"/>
      <c r="J397" s="28"/>
      <c r="K397" s="28"/>
      <c r="L397" s="50" t="s">
        <v>98</v>
      </c>
      <c r="M397" s="48"/>
      <c r="N397" s="50" t="s">
        <v>98</v>
      </c>
      <c r="O397" s="28"/>
      <c r="P397" s="37"/>
      <c r="Q397" s="28" t="str">
        <f>IF(OR(Table810[[#This Row],[Post-Review Decision]]="Include", Table810[[#This Row],[Post-Review Decision]]="Include if possible", Table810[[#This Row],[Post-Review Decision]]="Include (Omit % Avg if needed)",  Table810[[#This Row],[Post-Review Decision]]="Include (Omit % Avg)"),Table810[[#This Row],[EAR Total Capacity]],"")</f>
        <v/>
      </c>
      <c r="R397" s="28"/>
      <c r="S397" s="45">
        <v>0</v>
      </c>
      <c r="T397" s="28"/>
      <c r="U397" s="28"/>
      <c r="V397" s="13" t="s">
        <v>442</v>
      </c>
      <c r="W397" s="12" t="b">
        <f>ISNUMBER(Table810[[#This Row],[EAR Total Capacity]])</f>
        <v>0</v>
      </c>
      <c r="X397" s="12" t="b">
        <f>IF(Table810[[#This Row],[Has  Storage for Full Averaging Period?]]="OK",TRUE,FALSE)</f>
        <v>0</v>
      </c>
      <c r="Y397" s="12" t="b">
        <f>IFERROR(IF(YEAR(Table810[[#This Row],[RISE Storage End Date]])=2025,TRUE,FALSE),FALSE)</f>
        <v>0</v>
      </c>
      <c r="Z397" s="11" t="b">
        <v>0</v>
      </c>
      <c r="AA397" s="13">
        <v>387</v>
      </c>
      <c r="AB397" s="13" t="s">
        <v>76</v>
      </c>
      <c r="AC397" s="13" t="s">
        <v>1846</v>
      </c>
      <c r="AD397" s="13" t="s">
        <v>1845</v>
      </c>
      <c r="AE397" s="13" t="s">
        <v>101</v>
      </c>
      <c r="AF397" s="13" t="s">
        <v>1847</v>
      </c>
      <c r="AG397" s="13" t="s">
        <v>91</v>
      </c>
      <c r="AH397" s="13" t="s">
        <v>92</v>
      </c>
      <c r="AI397" s="13" t="s">
        <v>103</v>
      </c>
      <c r="AJ397" s="13"/>
      <c r="AK397" s="15"/>
      <c r="AL397" s="15"/>
      <c r="AM397" s="15" t="s">
        <v>61</v>
      </c>
      <c r="AN397" s="15" t="s">
        <v>61</v>
      </c>
      <c r="AO397" s="15" t="s">
        <v>61</v>
      </c>
      <c r="AP397" s="15" t="s">
        <v>61</v>
      </c>
      <c r="AQ397" s="22"/>
      <c r="AR397" s="25"/>
      <c r="AS397" s="25"/>
      <c r="AT397" s="25"/>
      <c r="AU397" s="25"/>
      <c r="AV397" s="25"/>
      <c r="AW397" s="25"/>
      <c r="AX397" s="24"/>
    </row>
    <row r="398" spans="1:50" ht="16.5" customHeight="1">
      <c r="A398" s="36" t="s">
        <v>1848</v>
      </c>
      <c r="B398" s="28"/>
      <c r="C398" s="28" t="s">
        <v>97</v>
      </c>
      <c r="D398" s="28"/>
      <c r="E398" s="28"/>
      <c r="F398" s="28" t="s">
        <v>61</v>
      </c>
      <c r="G398" s="28"/>
      <c r="H398" s="28" t="str">
        <f>IF(ISNUMBER(Table810[[#This Row],[Total Capacity]]),"USBR Enterprise Asset Registry",IF(Table810[[#This Row],[Total Capacity]]="",""))</f>
        <v/>
      </c>
      <c r="I398" s="28"/>
      <c r="J398" s="28"/>
      <c r="K398" s="28"/>
      <c r="L398" s="50" t="s">
        <v>98</v>
      </c>
      <c r="M398" s="48"/>
      <c r="N398" s="50" t="s">
        <v>98</v>
      </c>
      <c r="O398" s="28"/>
      <c r="P398" s="37"/>
      <c r="Q398" s="28" t="str">
        <f>IF(OR(Table810[[#This Row],[Post-Review Decision]]="Include", Table810[[#This Row],[Post-Review Decision]]="Include if possible", Table810[[#This Row],[Post-Review Decision]]="Include (Omit % Avg if needed)",  Table810[[#This Row],[Post-Review Decision]]="Include (Omit % Avg)"),Table810[[#This Row],[EAR Total Capacity]],"")</f>
        <v/>
      </c>
      <c r="R398" s="28"/>
      <c r="S398" s="45">
        <v>0</v>
      </c>
      <c r="T398" s="28"/>
      <c r="U398" s="28"/>
      <c r="V398" s="13" t="s">
        <v>442</v>
      </c>
      <c r="W398" s="12" t="b">
        <f>ISNUMBER(Table810[[#This Row],[EAR Total Capacity]])</f>
        <v>0</v>
      </c>
      <c r="X398" s="12" t="b">
        <f>IF(Table810[[#This Row],[Has  Storage for Full Averaging Period?]]="OK",TRUE,FALSE)</f>
        <v>0</v>
      </c>
      <c r="Y398" s="12" t="b">
        <f>IFERROR(IF(YEAR(Table810[[#This Row],[RISE Storage End Date]])=2025,TRUE,FALSE),FALSE)</f>
        <v>0</v>
      </c>
      <c r="Z398" s="11" t="b">
        <v>0</v>
      </c>
      <c r="AA398" s="13">
        <v>388</v>
      </c>
      <c r="AB398" s="13" t="s">
        <v>76</v>
      </c>
      <c r="AC398" s="13" t="s">
        <v>1849</v>
      </c>
      <c r="AD398" s="13" t="s">
        <v>1848</v>
      </c>
      <c r="AE398" s="13" t="s">
        <v>101</v>
      </c>
      <c r="AF398" s="13" t="s">
        <v>1850</v>
      </c>
      <c r="AG398" s="13" t="s">
        <v>91</v>
      </c>
      <c r="AH398" s="13" t="s">
        <v>92</v>
      </c>
      <c r="AI398" s="13" t="s">
        <v>103</v>
      </c>
      <c r="AJ398" s="13"/>
      <c r="AK398" s="15"/>
      <c r="AL398" s="15"/>
      <c r="AM398" s="15" t="s">
        <v>61</v>
      </c>
      <c r="AN398" s="15" t="s">
        <v>61</v>
      </c>
      <c r="AO398" s="15" t="s">
        <v>61</v>
      </c>
      <c r="AP398" s="15" t="s">
        <v>61</v>
      </c>
      <c r="AQ398" s="22"/>
      <c r="AR398" s="25"/>
      <c r="AS398" s="25"/>
      <c r="AT398" s="25"/>
      <c r="AU398" s="25"/>
      <c r="AV398" s="25"/>
      <c r="AW398" s="25"/>
      <c r="AX398" s="24"/>
    </row>
    <row r="399" spans="1:50" ht="16.5" customHeight="1">
      <c r="A399" s="36" t="s">
        <v>1851</v>
      </c>
      <c r="B399" s="28"/>
      <c r="C399" s="28" t="s">
        <v>97</v>
      </c>
      <c r="D399" s="28"/>
      <c r="E399" s="28"/>
      <c r="F399" s="28" t="s">
        <v>61</v>
      </c>
      <c r="G399" s="28"/>
      <c r="H399" s="28" t="str">
        <f>IF(ISNUMBER(Table810[[#This Row],[Total Capacity]]),"USBR Enterprise Asset Registry",IF(Table810[[#This Row],[Total Capacity]]="",""))</f>
        <v/>
      </c>
      <c r="I399" s="28"/>
      <c r="J399" s="28"/>
      <c r="K399" s="28"/>
      <c r="L399" s="50" t="s">
        <v>98</v>
      </c>
      <c r="M399" s="48"/>
      <c r="N399" s="50" t="s">
        <v>98</v>
      </c>
      <c r="O399" s="28"/>
      <c r="P399" s="37"/>
      <c r="Q399" s="28" t="str">
        <f>IF(OR(Table810[[#This Row],[Post-Review Decision]]="Include", Table810[[#This Row],[Post-Review Decision]]="Include if possible", Table810[[#This Row],[Post-Review Decision]]="Include (Omit % Avg if needed)",  Table810[[#This Row],[Post-Review Decision]]="Include (Omit % Avg)"),Table810[[#This Row],[EAR Total Capacity]],"")</f>
        <v/>
      </c>
      <c r="R399" s="28"/>
      <c r="S399" s="45">
        <v>0</v>
      </c>
      <c r="T399" s="28"/>
      <c r="U399" s="28"/>
      <c r="V399" s="13" t="s">
        <v>74</v>
      </c>
      <c r="W399" s="12" t="b">
        <f>ISNUMBER(Table810[[#This Row],[EAR Total Capacity]])</f>
        <v>0</v>
      </c>
      <c r="X399" s="12" t="b">
        <f>IF(Table810[[#This Row],[Has  Storage for Full Averaging Period?]]="OK",TRUE,FALSE)</f>
        <v>0</v>
      </c>
      <c r="Y399" s="12" t="b">
        <f>IFERROR(IF(YEAR(Table810[[#This Row],[RISE Storage End Date]])=2025,TRUE,FALSE),FALSE)</f>
        <v>0</v>
      </c>
      <c r="Z399" s="11" t="b">
        <v>0</v>
      </c>
      <c r="AA399" s="13">
        <v>389</v>
      </c>
      <c r="AB399" s="13" t="s">
        <v>76</v>
      </c>
      <c r="AC399" s="13" t="s">
        <v>1852</v>
      </c>
      <c r="AD399" s="13" t="s">
        <v>1851</v>
      </c>
      <c r="AE399" s="13" t="s">
        <v>101</v>
      </c>
      <c r="AF399" s="13" t="s">
        <v>1853</v>
      </c>
      <c r="AG399" s="13" t="s">
        <v>80</v>
      </c>
      <c r="AH399" s="13" t="s">
        <v>81</v>
      </c>
      <c r="AI399" s="13" t="s">
        <v>103</v>
      </c>
      <c r="AJ399" s="13"/>
      <c r="AK399" s="15"/>
      <c r="AL399" s="15"/>
      <c r="AM399" s="15" t="s">
        <v>61</v>
      </c>
      <c r="AN399" s="15" t="s">
        <v>61</v>
      </c>
      <c r="AO399" s="15" t="s">
        <v>61</v>
      </c>
      <c r="AP399" s="15" t="s">
        <v>61</v>
      </c>
      <c r="AQ399" s="22"/>
      <c r="AR399" s="25"/>
      <c r="AS399" s="25"/>
      <c r="AT399" s="25"/>
      <c r="AU399" s="25"/>
      <c r="AV399" s="25"/>
      <c r="AW399" s="25"/>
      <c r="AX399" s="24"/>
    </row>
    <row r="400" spans="1:50" ht="16.5" customHeight="1">
      <c r="A400" s="36" t="s">
        <v>1854</v>
      </c>
      <c r="B400" s="28"/>
      <c r="C400" s="28" t="s">
        <v>97</v>
      </c>
      <c r="D400" s="28"/>
      <c r="E400" s="28"/>
      <c r="F400" s="28" t="s">
        <v>61</v>
      </c>
      <c r="G400" s="28"/>
      <c r="H400" s="28" t="str">
        <f>IF(ISNUMBER(Table810[[#This Row],[Total Capacity]]),"USBR Enterprise Asset Registry",IF(Table810[[#This Row],[Total Capacity]]="",""))</f>
        <v/>
      </c>
      <c r="I400" s="28"/>
      <c r="J400" s="28"/>
      <c r="K400" s="28"/>
      <c r="L400" s="50" t="s">
        <v>98</v>
      </c>
      <c r="M400" s="48"/>
      <c r="N400" s="50" t="s">
        <v>98</v>
      </c>
      <c r="O400" s="28"/>
      <c r="P400" s="37"/>
      <c r="Q400" s="28" t="str">
        <f>IF(OR(Table810[[#This Row],[Post-Review Decision]]="Include", Table810[[#This Row],[Post-Review Decision]]="Include if possible", Table810[[#This Row],[Post-Review Decision]]="Include (Omit % Avg if needed)",  Table810[[#This Row],[Post-Review Decision]]="Include (Omit % Avg)"),Table810[[#This Row],[EAR Total Capacity]],"")</f>
        <v/>
      </c>
      <c r="R400" s="28"/>
      <c r="S400" s="45">
        <v>0</v>
      </c>
      <c r="T400" s="28"/>
      <c r="U400" s="28"/>
      <c r="V400" s="13" t="s">
        <v>1507</v>
      </c>
      <c r="W400" s="12" t="b">
        <f>ISNUMBER(Table810[[#This Row],[EAR Total Capacity]])</f>
        <v>1</v>
      </c>
      <c r="X400" s="12" t="b">
        <f>IF(Table810[[#This Row],[Has  Storage for Full Averaging Period?]]="OK",TRUE,FALSE)</f>
        <v>0</v>
      </c>
      <c r="Y400" s="12" t="b">
        <f>IFERROR(IF(YEAR(Table810[[#This Row],[RISE Storage End Date]])=2025,TRUE,FALSE),FALSE)</f>
        <v>0</v>
      </c>
      <c r="Z400" s="11" t="b">
        <v>0</v>
      </c>
      <c r="AA400" s="13">
        <v>390</v>
      </c>
      <c r="AB400" s="13" t="s">
        <v>76</v>
      </c>
      <c r="AC400" s="13" t="s">
        <v>1854</v>
      </c>
      <c r="AD400" s="13" t="s">
        <v>1854</v>
      </c>
      <c r="AE400" s="13" t="s">
        <v>101</v>
      </c>
      <c r="AF400" s="13" t="s">
        <v>1855</v>
      </c>
      <c r="AG400" s="13" t="s">
        <v>91</v>
      </c>
      <c r="AH400" s="13" t="s">
        <v>102</v>
      </c>
      <c r="AI400" s="13" t="s">
        <v>110</v>
      </c>
      <c r="AJ400" s="13">
        <v>13</v>
      </c>
      <c r="AK400" s="15"/>
      <c r="AL400" s="15"/>
      <c r="AM400" s="15" t="s">
        <v>61</v>
      </c>
      <c r="AN400" s="15" t="s">
        <v>61</v>
      </c>
      <c r="AO400" s="15" t="s">
        <v>61</v>
      </c>
      <c r="AP400" s="15" t="s">
        <v>61</v>
      </c>
      <c r="AQ400" s="22"/>
      <c r="AR400" s="25"/>
      <c r="AS400" s="25"/>
      <c r="AT400" s="25"/>
      <c r="AU400" s="25"/>
      <c r="AV400" s="25"/>
      <c r="AW400" s="25"/>
      <c r="AX400" s="24"/>
    </row>
    <row r="401" spans="1:50" ht="16.5" customHeight="1">
      <c r="A401" s="36" t="s">
        <v>1856</v>
      </c>
      <c r="B401" s="28"/>
      <c r="C401" s="28" t="s">
        <v>97</v>
      </c>
      <c r="D401" s="28"/>
      <c r="E401" s="28"/>
      <c r="F401" s="28" t="s">
        <v>61</v>
      </c>
      <c r="G401" s="28"/>
      <c r="H401" s="28" t="str">
        <f>IF(ISNUMBER(Table810[[#This Row],[Total Capacity]]),"USBR Enterprise Asset Registry",IF(Table810[[#This Row],[Total Capacity]]="",""))</f>
        <v/>
      </c>
      <c r="I401" s="28"/>
      <c r="J401" s="28"/>
      <c r="K401" s="28"/>
      <c r="L401" s="50" t="s">
        <v>98</v>
      </c>
      <c r="M401" s="48"/>
      <c r="N401" s="50" t="s">
        <v>98</v>
      </c>
      <c r="O401" s="28"/>
      <c r="P401" s="37"/>
      <c r="Q401" s="28" t="str">
        <f>IF(OR(Table810[[#This Row],[Post-Review Decision]]="Include", Table810[[#This Row],[Post-Review Decision]]="Include if possible", Table810[[#This Row],[Post-Review Decision]]="Include (Omit % Avg if needed)",  Table810[[#This Row],[Post-Review Decision]]="Include (Omit % Avg)"),Table810[[#This Row],[EAR Total Capacity]],"")</f>
        <v/>
      </c>
      <c r="R401" s="28"/>
      <c r="S401" s="45">
        <v>0</v>
      </c>
      <c r="T401" s="28"/>
      <c r="U401" s="28"/>
      <c r="V401" s="13" t="s">
        <v>1507</v>
      </c>
      <c r="W401" s="12" t="b">
        <f>ISNUMBER(Table810[[#This Row],[EAR Total Capacity]])</f>
        <v>1</v>
      </c>
      <c r="X401" s="12" t="b">
        <f>IF(Table810[[#This Row],[Has  Storage for Full Averaging Period?]]="OK",TRUE,FALSE)</f>
        <v>0</v>
      </c>
      <c r="Y401" s="12" t="b">
        <f>IFERROR(IF(YEAR(Table810[[#This Row],[RISE Storage End Date]])=2025,TRUE,FALSE),FALSE)</f>
        <v>0</v>
      </c>
      <c r="Z401" s="11" t="b">
        <v>0</v>
      </c>
      <c r="AA401" s="13">
        <v>391</v>
      </c>
      <c r="AB401" s="13" t="s">
        <v>76</v>
      </c>
      <c r="AC401" s="13" t="s">
        <v>1856</v>
      </c>
      <c r="AD401" s="13" t="s">
        <v>1856</v>
      </c>
      <c r="AE401" s="13" t="s">
        <v>101</v>
      </c>
      <c r="AF401" s="13" t="s">
        <v>1857</v>
      </c>
      <c r="AG401" s="13" t="s">
        <v>91</v>
      </c>
      <c r="AH401" s="13" t="s">
        <v>102</v>
      </c>
      <c r="AI401" s="13" t="s">
        <v>110</v>
      </c>
      <c r="AJ401" s="13">
        <v>14</v>
      </c>
      <c r="AK401" s="15"/>
      <c r="AL401" s="15"/>
      <c r="AM401" s="15" t="s">
        <v>61</v>
      </c>
      <c r="AN401" s="15" t="s">
        <v>61</v>
      </c>
      <c r="AO401" s="15" t="s">
        <v>61</v>
      </c>
      <c r="AP401" s="15" t="s">
        <v>61</v>
      </c>
      <c r="AQ401" s="22"/>
      <c r="AR401" s="25"/>
      <c r="AS401" s="25"/>
      <c r="AT401" s="25"/>
      <c r="AU401" s="25"/>
      <c r="AV401" s="25"/>
      <c r="AW401" s="25"/>
      <c r="AX401" s="24"/>
    </row>
    <row r="402" spans="1:50" ht="16.5" customHeight="1">
      <c r="A402" s="36" t="s">
        <v>1858</v>
      </c>
      <c r="B402" s="28"/>
      <c r="C402" s="28" t="s">
        <v>97</v>
      </c>
      <c r="D402" s="28"/>
      <c r="E402" s="28"/>
      <c r="F402" s="28" t="s">
        <v>61</v>
      </c>
      <c r="G402" s="28"/>
      <c r="H402" s="28" t="str">
        <f>IF(ISNUMBER(Table810[[#This Row],[Total Capacity]]),"USBR Enterprise Asset Registry",IF(Table810[[#This Row],[Total Capacity]]="",""))</f>
        <v/>
      </c>
      <c r="I402" s="28"/>
      <c r="J402" s="28"/>
      <c r="K402" s="28"/>
      <c r="L402" s="50" t="s">
        <v>98</v>
      </c>
      <c r="M402" s="48"/>
      <c r="N402" s="50" t="s">
        <v>98</v>
      </c>
      <c r="O402" s="28"/>
      <c r="P402" s="37"/>
      <c r="Q402" s="28" t="str">
        <f>IF(OR(Table810[[#This Row],[Post-Review Decision]]="Include", Table810[[#This Row],[Post-Review Decision]]="Include if possible", Table810[[#This Row],[Post-Review Decision]]="Include (Omit % Avg if needed)",  Table810[[#This Row],[Post-Review Decision]]="Include (Omit % Avg)"),Table810[[#This Row],[EAR Total Capacity]],"")</f>
        <v/>
      </c>
      <c r="R402" s="28"/>
      <c r="S402" s="45">
        <v>0</v>
      </c>
      <c r="T402" s="28"/>
      <c r="U402" s="28"/>
      <c r="V402" s="13" t="s">
        <v>1507</v>
      </c>
      <c r="W402" s="12" t="b">
        <f>ISNUMBER(Table810[[#This Row],[EAR Total Capacity]])</f>
        <v>1</v>
      </c>
      <c r="X402" s="12" t="b">
        <f>IF(Table810[[#This Row],[Has  Storage for Full Averaging Period?]]="OK",TRUE,FALSE)</f>
        <v>0</v>
      </c>
      <c r="Y402" s="12" t="b">
        <f>IFERROR(IF(YEAR(Table810[[#This Row],[RISE Storage End Date]])=2025,TRUE,FALSE),FALSE)</f>
        <v>0</v>
      </c>
      <c r="Z402" s="11" t="b">
        <v>0</v>
      </c>
      <c r="AA402" s="13">
        <v>392</v>
      </c>
      <c r="AB402" s="13" t="s">
        <v>76</v>
      </c>
      <c r="AC402" s="13" t="s">
        <v>1858</v>
      </c>
      <c r="AD402" s="13" t="s">
        <v>1858</v>
      </c>
      <c r="AE402" s="13" t="s">
        <v>101</v>
      </c>
      <c r="AF402" s="13" t="s">
        <v>1859</v>
      </c>
      <c r="AG402" s="13" t="s">
        <v>91</v>
      </c>
      <c r="AH402" s="13" t="s">
        <v>102</v>
      </c>
      <c r="AI402" s="13" t="s">
        <v>110</v>
      </c>
      <c r="AJ402" s="13">
        <v>9</v>
      </c>
      <c r="AK402" s="15"/>
      <c r="AL402" s="15"/>
      <c r="AM402" s="15" t="s">
        <v>61</v>
      </c>
      <c r="AN402" s="15" t="s">
        <v>61</v>
      </c>
      <c r="AO402" s="15" t="s">
        <v>61</v>
      </c>
      <c r="AP402" s="15" t="s">
        <v>61</v>
      </c>
      <c r="AQ402" s="22"/>
      <c r="AR402" s="25"/>
      <c r="AS402" s="25"/>
      <c r="AT402" s="25"/>
      <c r="AU402" s="25"/>
      <c r="AV402" s="25"/>
      <c r="AW402" s="25"/>
      <c r="AX402" s="24"/>
    </row>
    <row r="403" spans="1:50" ht="16.5" customHeight="1">
      <c r="A403" s="36" t="s">
        <v>1860</v>
      </c>
      <c r="B403" s="28"/>
      <c r="C403" s="28" t="s">
        <v>97</v>
      </c>
      <c r="D403" s="28"/>
      <c r="E403" s="28"/>
      <c r="F403" s="28" t="s">
        <v>61</v>
      </c>
      <c r="G403" s="28"/>
      <c r="H403" s="28" t="str">
        <f>IF(ISNUMBER(Table810[[#This Row],[Total Capacity]]),"USBR Enterprise Asset Registry",IF(Table810[[#This Row],[Total Capacity]]="",""))</f>
        <v/>
      </c>
      <c r="I403" s="28"/>
      <c r="J403" s="28"/>
      <c r="K403" s="28"/>
      <c r="L403" s="50" t="s">
        <v>98</v>
      </c>
      <c r="M403" s="48"/>
      <c r="N403" s="50" t="s">
        <v>98</v>
      </c>
      <c r="O403" s="28"/>
      <c r="P403" s="37"/>
      <c r="Q403" s="28" t="str">
        <f>IF(OR(Table810[[#This Row],[Post-Review Decision]]="Include", Table810[[#This Row],[Post-Review Decision]]="Include if possible", Table810[[#This Row],[Post-Review Decision]]="Include (Omit % Avg if needed)",  Table810[[#This Row],[Post-Review Decision]]="Include (Omit % Avg)"),Table810[[#This Row],[EAR Total Capacity]],"")</f>
        <v/>
      </c>
      <c r="R403" s="28"/>
      <c r="S403" s="45">
        <v>0</v>
      </c>
      <c r="T403" s="28"/>
      <c r="U403" s="28"/>
      <c r="V403" s="13" t="s">
        <v>1507</v>
      </c>
      <c r="W403" s="12" t="b">
        <f>ISNUMBER(Table810[[#This Row],[EAR Total Capacity]])</f>
        <v>1</v>
      </c>
      <c r="X403" s="12" t="b">
        <f>IF(Table810[[#This Row],[Has  Storage for Full Averaging Period?]]="OK",TRUE,FALSE)</f>
        <v>0</v>
      </c>
      <c r="Y403" s="12" t="b">
        <f>IFERROR(IF(YEAR(Table810[[#This Row],[RISE Storage End Date]])=2025,TRUE,FALSE),FALSE)</f>
        <v>0</v>
      </c>
      <c r="Z403" s="11" t="b">
        <v>0</v>
      </c>
      <c r="AA403" s="13">
        <v>393</v>
      </c>
      <c r="AB403" s="13" t="s">
        <v>76</v>
      </c>
      <c r="AC403" s="13" t="s">
        <v>1860</v>
      </c>
      <c r="AD403" s="13" t="s">
        <v>1860</v>
      </c>
      <c r="AE403" s="13" t="s">
        <v>101</v>
      </c>
      <c r="AF403" s="13" t="s">
        <v>1861</v>
      </c>
      <c r="AG403" s="13" t="s">
        <v>91</v>
      </c>
      <c r="AH403" s="13" t="s">
        <v>102</v>
      </c>
      <c r="AI403" s="13" t="s">
        <v>110</v>
      </c>
      <c r="AJ403" s="13">
        <v>9</v>
      </c>
      <c r="AK403" s="15"/>
      <c r="AL403" s="15"/>
      <c r="AM403" s="15" t="s">
        <v>61</v>
      </c>
      <c r="AN403" s="15" t="s">
        <v>61</v>
      </c>
      <c r="AO403" s="15" t="s">
        <v>61</v>
      </c>
      <c r="AP403" s="15" t="s">
        <v>61</v>
      </c>
      <c r="AQ403" s="22"/>
      <c r="AR403" s="25"/>
      <c r="AS403" s="25"/>
      <c r="AT403" s="25"/>
      <c r="AU403" s="25"/>
      <c r="AV403" s="25"/>
      <c r="AW403" s="25"/>
      <c r="AX403" s="24"/>
    </row>
    <row r="404" spans="1:50" ht="16.5" customHeight="1">
      <c r="A404" s="36" t="s">
        <v>1862</v>
      </c>
      <c r="B404" s="28"/>
      <c r="C404" s="28" t="s">
        <v>97</v>
      </c>
      <c r="D404" s="28"/>
      <c r="E404" s="28"/>
      <c r="F404" s="28" t="s">
        <v>61</v>
      </c>
      <c r="G404" s="28"/>
      <c r="H404" s="28" t="str">
        <f>IF(ISNUMBER(Table810[[#This Row],[Total Capacity]]),"USBR Enterprise Asset Registry",IF(Table810[[#This Row],[Total Capacity]]="",""))</f>
        <v/>
      </c>
      <c r="I404" s="28"/>
      <c r="J404" s="28"/>
      <c r="K404" s="28"/>
      <c r="L404" s="50" t="s">
        <v>98</v>
      </c>
      <c r="M404" s="48"/>
      <c r="N404" s="50" t="s">
        <v>98</v>
      </c>
      <c r="O404" s="28"/>
      <c r="P404" s="37"/>
      <c r="Q404" s="28" t="str">
        <f>IF(OR(Table810[[#This Row],[Post-Review Decision]]="Include", Table810[[#This Row],[Post-Review Decision]]="Include if possible", Table810[[#This Row],[Post-Review Decision]]="Include (Omit % Avg if needed)",  Table810[[#This Row],[Post-Review Decision]]="Include (Omit % Avg)"),Table810[[#This Row],[EAR Total Capacity]],"")</f>
        <v/>
      </c>
      <c r="R404" s="28"/>
      <c r="S404" s="45">
        <v>0</v>
      </c>
      <c r="T404" s="28"/>
      <c r="U404" s="28"/>
      <c r="V404" s="13" t="s">
        <v>1507</v>
      </c>
      <c r="W404" s="12" t="b">
        <f>ISNUMBER(Table810[[#This Row],[EAR Total Capacity]])</f>
        <v>1</v>
      </c>
      <c r="X404" s="12" t="b">
        <f>IF(Table810[[#This Row],[Has  Storage for Full Averaging Period?]]="OK",TRUE,FALSE)</f>
        <v>0</v>
      </c>
      <c r="Y404" s="12" t="b">
        <f>IFERROR(IF(YEAR(Table810[[#This Row],[RISE Storage End Date]])=2025,TRUE,FALSE),FALSE)</f>
        <v>0</v>
      </c>
      <c r="Z404" s="11" t="b">
        <v>0</v>
      </c>
      <c r="AA404" s="13">
        <v>394</v>
      </c>
      <c r="AB404" s="13" t="s">
        <v>76</v>
      </c>
      <c r="AC404" s="13" t="s">
        <v>1862</v>
      </c>
      <c r="AD404" s="13" t="s">
        <v>1862</v>
      </c>
      <c r="AE404" s="13" t="s">
        <v>101</v>
      </c>
      <c r="AF404" s="13" t="s">
        <v>1863</v>
      </c>
      <c r="AG404" s="13" t="s">
        <v>91</v>
      </c>
      <c r="AH404" s="13" t="s">
        <v>102</v>
      </c>
      <c r="AI404" s="13" t="s">
        <v>110</v>
      </c>
      <c r="AJ404" s="13">
        <v>12</v>
      </c>
      <c r="AK404" s="15"/>
      <c r="AL404" s="15"/>
      <c r="AM404" s="15" t="s">
        <v>61</v>
      </c>
      <c r="AN404" s="15" t="s">
        <v>61</v>
      </c>
      <c r="AO404" s="15" t="s">
        <v>61</v>
      </c>
      <c r="AP404" s="15" t="s">
        <v>61</v>
      </c>
      <c r="AQ404" s="22"/>
      <c r="AR404" s="25"/>
      <c r="AS404" s="25"/>
      <c r="AT404" s="25"/>
      <c r="AU404" s="25"/>
      <c r="AV404" s="25"/>
      <c r="AW404" s="25"/>
      <c r="AX404" s="24"/>
    </row>
    <row r="405" spans="1:50" ht="16.5" customHeight="1">
      <c r="A405" s="36" t="s">
        <v>1864</v>
      </c>
      <c r="B405" s="28"/>
      <c r="C405" s="28" t="s">
        <v>97</v>
      </c>
      <c r="D405" s="28"/>
      <c r="E405" s="28"/>
      <c r="F405" s="28" t="s">
        <v>61</v>
      </c>
      <c r="G405" s="28"/>
      <c r="H405" s="28" t="str">
        <f>IF(ISNUMBER(Table810[[#This Row],[Total Capacity]]),"USBR Enterprise Asset Registry",IF(Table810[[#This Row],[Total Capacity]]="",""))</f>
        <v/>
      </c>
      <c r="I405" s="28"/>
      <c r="J405" s="28"/>
      <c r="K405" s="28"/>
      <c r="L405" s="50" t="s">
        <v>98</v>
      </c>
      <c r="M405" s="48"/>
      <c r="N405" s="50" t="s">
        <v>98</v>
      </c>
      <c r="O405" s="28"/>
      <c r="P405" s="37"/>
      <c r="Q405" s="28" t="str">
        <f>IF(OR(Table810[[#This Row],[Post-Review Decision]]="Include", Table810[[#This Row],[Post-Review Decision]]="Include if possible", Table810[[#This Row],[Post-Review Decision]]="Include (Omit % Avg if needed)",  Table810[[#This Row],[Post-Review Decision]]="Include (Omit % Avg)"),Table810[[#This Row],[EAR Total Capacity]],"")</f>
        <v/>
      </c>
      <c r="R405" s="28"/>
      <c r="S405" s="45">
        <v>0</v>
      </c>
      <c r="T405" s="28"/>
      <c r="U405" s="28"/>
      <c r="V405" s="13" t="s">
        <v>1507</v>
      </c>
      <c r="W405" s="12" t="b">
        <f>ISNUMBER(Table810[[#This Row],[EAR Total Capacity]])</f>
        <v>1</v>
      </c>
      <c r="X405" s="12" t="b">
        <f>IF(Table810[[#This Row],[Has  Storage for Full Averaging Period?]]="OK",TRUE,FALSE)</f>
        <v>0</v>
      </c>
      <c r="Y405" s="12" t="b">
        <f>IFERROR(IF(YEAR(Table810[[#This Row],[RISE Storage End Date]])=2025,TRUE,FALSE),FALSE)</f>
        <v>0</v>
      </c>
      <c r="Z405" s="11" t="b">
        <v>0</v>
      </c>
      <c r="AA405" s="13">
        <v>395</v>
      </c>
      <c r="AB405" s="13" t="s">
        <v>76</v>
      </c>
      <c r="AC405" s="13" t="s">
        <v>1864</v>
      </c>
      <c r="AD405" s="13" t="s">
        <v>1864</v>
      </c>
      <c r="AE405" s="13" t="s">
        <v>101</v>
      </c>
      <c r="AF405" s="13" t="s">
        <v>1865</v>
      </c>
      <c r="AG405" s="13" t="s">
        <v>91</v>
      </c>
      <c r="AH405" s="13" t="s">
        <v>102</v>
      </c>
      <c r="AI405" s="13" t="s">
        <v>110</v>
      </c>
      <c r="AJ405" s="13">
        <v>10</v>
      </c>
      <c r="AK405" s="15"/>
      <c r="AL405" s="15"/>
      <c r="AM405" s="15" t="s">
        <v>61</v>
      </c>
      <c r="AN405" s="15" t="s">
        <v>61</v>
      </c>
      <c r="AO405" s="15" t="s">
        <v>61</v>
      </c>
      <c r="AP405" s="15" t="s">
        <v>61</v>
      </c>
      <c r="AQ405" s="22"/>
      <c r="AR405" s="25"/>
      <c r="AS405" s="25"/>
      <c r="AT405" s="25"/>
      <c r="AU405" s="25"/>
      <c r="AV405" s="25"/>
      <c r="AW405" s="25"/>
      <c r="AX405" s="24"/>
    </row>
    <row r="406" spans="1:50" ht="16.5" customHeight="1">
      <c r="A406" s="36" t="s">
        <v>1866</v>
      </c>
      <c r="B406" s="28"/>
      <c r="C406" s="28" t="s">
        <v>97</v>
      </c>
      <c r="D406" s="28"/>
      <c r="E406" s="28"/>
      <c r="F406" s="28" t="s">
        <v>61</v>
      </c>
      <c r="G406" s="28"/>
      <c r="H406" s="28" t="str">
        <f>IF(ISNUMBER(Table810[[#This Row],[Total Capacity]]),"USBR Enterprise Asset Registry",IF(Table810[[#This Row],[Total Capacity]]="",""))</f>
        <v/>
      </c>
      <c r="I406" s="28"/>
      <c r="J406" s="28"/>
      <c r="K406" s="28"/>
      <c r="L406" s="50" t="s">
        <v>98</v>
      </c>
      <c r="M406" s="48"/>
      <c r="N406" s="50" t="s">
        <v>98</v>
      </c>
      <c r="O406" s="28"/>
      <c r="P406" s="37"/>
      <c r="Q406" s="28" t="str">
        <f>IF(OR(Table810[[#This Row],[Post-Review Decision]]="Include", Table810[[#This Row],[Post-Review Decision]]="Include if possible", Table810[[#This Row],[Post-Review Decision]]="Include (Omit % Avg if needed)",  Table810[[#This Row],[Post-Review Decision]]="Include (Omit % Avg)"),Table810[[#This Row],[EAR Total Capacity]],"")</f>
        <v/>
      </c>
      <c r="R406" s="28"/>
      <c r="S406" s="45">
        <v>0</v>
      </c>
      <c r="T406" s="28"/>
      <c r="U406" s="28"/>
      <c r="V406" s="13" t="s">
        <v>1507</v>
      </c>
      <c r="W406" s="12" t="b">
        <f>ISNUMBER(Table810[[#This Row],[EAR Total Capacity]])</f>
        <v>1</v>
      </c>
      <c r="X406" s="12" t="b">
        <f>IF(Table810[[#This Row],[Has  Storage for Full Averaging Period?]]="OK",TRUE,FALSE)</f>
        <v>0</v>
      </c>
      <c r="Y406" s="12" t="b">
        <f>IFERROR(IF(YEAR(Table810[[#This Row],[RISE Storage End Date]])=2025,TRUE,FALSE),FALSE)</f>
        <v>0</v>
      </c>
      <c r="Z406" s="11" t="b">
        <v>0</v>
      </c>
      <c r="AA406" s="13">
        <v>396</v>
      </c>
      <c r="AB406" s="13" t="s">
        <v>76</v>
      </c>
      <c r="AC406" s="13" t="s">
        <v>1866</v>
      </c>
      <c r="AD406" s="13" t="s">
        <v>1866</v>
      </c>
      <c r="AE406" s="13" t="s">
        <v>101</v>
      </c>
      <c r="AF406" s="13" t="s">
        <v>1867</v>
      </c>
      <c r="AG406" s="13" t="s">
        <v>91</v>
      </c>
      <c r="AH406" s="13" t="s">
        <v>102</v>
      </c>
      <c r="AI406" s="13" t="s">
        <v>110</v>
      </c>
      <c r="AJ406" s="13">
        <v>11</v>
      </c>
      <c r="AK406" s="15"/>
      <c r="AL406" s="15"/>
      <c r="AM406" s="15" t="s">
        <v>61</v>
      </c>
      <c r="AN406" s="15" t="s">
        <v>61</v>
      </c>
      <c r="AO406" s="15" t="s">
        <v>61</v>
      </c>
      <c r="AP406" s="15" t="s">
        <v>61</v>
      </c>
      <c r="AQ406" s="22"/>
      <c r="AR406" s="25"/>
      <c r="AS406" s="25"/>
      <c r="AT406" s="25"/>
      <c r="AU406" s="25"/>
      <c r="AV406" s="25"/>
      <c r="AW406" s="25"/>
      <c r="AX406" s="24"/>
    </row>
    <row r="407" spans="1:50" ht="16.5" customHeight="1">
      <c r="A407" s="36" t="s">
        <v>1868</v>
      </c>
      <c r="B407" s="28"/>
      <c r="C407" s="28" t="s">
        <v>97</v>
      </c>
      <c r="D407" s="28"/>
      <c r="E407" s="28"/>
      <c r="F407" s="28" t="s">
        <v>61</v>
      </c>
      <c r="G407" s="28"/>
      <c r="H407" s="28" t="str">
        <f>IF(ISNUMBER(Table810[[#This Row],[Total Capacity]]),"USBR Enterprise Asset Registry",IF(Table810[[#This Row],[Total Capacity]]="",""))</f>
        <v/>
      </c>
      <c r="I407" s="28"/>
      <c r="J407" s="28"/>
      <c r="K407" s="28"/>
      <c r="L407" s="50" t="s">
        <v>98</v>
      </c>
      <c r="M407" s="48"/>
      <c r="N407" s="50" t="s">
        <v>98</v>
      </c>
      <c r="O407" s="28"/>
      <c r="P407" s="37"/>
      <c r="Q407" s="28" t="str">
        <f>IF(OR(Table810[[#This Row],[Post-Review Decision]]="Include", Table810[[#This Row],[Post-Review Decision]]="Include if possible", Table810[[#This Row],[Post-Review Decision]]="Include (Omit % Avg if needed)",  Table810[[#This Row],[Post-Review Decision]]="Include (Omit % Avg)"),Table810[[#This Row],[EAR Total Capacity]],"")</f>
        <v/>
      </c>
      <c r="R407" s="28"/>
      <c r="S407" s="45">
        <v>0</v>
      </c>
      <c r="T407" s="28"/>
      <c r="U407" s="28"/>
      <c r="V407" s="13" t="s">
        <v>1507</v>
      </c>
      <c r="W407" s="12" t="b">
        <f>ISNUMBER(Table810[[#This Row],[EAR Total Capacity]])</f>
        <v>1</v>
      </c>
      <c r="X407" s="12" t="b">
        <f>IF(Table810[[#This Row],[Has  Storage for Full Averaging Period?]]="OK",TRUE,FALSE)</f>
        <v>0</v>
      </c>
      <c r="Y407" s="12" t="b">
        <f>IFERROR(IF(YEAR(Table810[[#This Row],[RISE Storage End Date]])=2025,TRUE,FALSE),FALSE)</f>
        <v>0</v>
      </c>
      <c r="Z407" s="11" t="b">
        <v>0</v>
      </c>
      <c r="AA407" s="13">
        <v>397</v>
      </c>
      <c r="AB407" s="13" t="s">
        <v>76</v>
      </c>
      <c r="AC407" s="13" t="s">
        <v>1868</v>
      </c>
      <c r="AD407" s="13" t="s">
        <v>1868</v>
      </c>
      <c r="AE407" s="13" t="s">
        <v>101</v>
      </c>
      <c r="AF407" s="13" t="s">
        <v>1869</v>
      </c>
      <c r="AG407" s="13" t="s">
        <v>91</v>
      </c>
      <c r="AH407" s="13" t="s">
        <v>102</v>
      </c>
      <c r="AI407" s="13" t="s">
        <v>110</v>
      </c>
      <c r="AJ407" s="13">
        <v>11</v>
      </c>
      <c r="AK407" s="15"/>
      <c r="AL407" s="15"/>
      <c r="AM407" s="15" t="s">
        <v>61</v>
      </c>
      <c r="AN407" s="15" t="s">
        <v>61</v>
      </c>
      <c r="AO407" s="15" t="s">
        <v>61</v>
      </c>
      <c r="AP407" s="15" t="s">
        <v>61</v>
      </c>
      <c r="AQ407" s="22"/>
      <c r="AR407" s="25"/>
      <c r="AS407" s="25"/>
      <c r="AT407" s="25"/>
      <c r="AU407" s="25"/>
      <c r="AV407" s="25"/>
      <c r="AW407" s="25"/>
      <c r="AX407" s="24"/>
    </row>
    <row r="408" spans="1:50" ht="16.5" customHeight="1">
      <c r="A408" s="36" t="s">
        <v>1870</v>
      </c>
      <c r="B408" s="28"/>
      <c r="C408" s="28" t="s">
        <v>97</v>
      </c>
      <c r="D408" s="28"/>
      <c r="E408" s="28"/>
      <c r="F408" s="28" t="s">
        <v>61</v>
      </c>
      <c r="G408" s="28"/>
      <c r="H408" s="28" t="str">
        <f>IF(ISNUMBER(Table810[[#This Row],[Total Capacity]]),"USBR Enterprise Asset Registry",IF(Table810[[#This Row],[Total Capacity]]="",""))</f>
        <v/>
      </c>
      <c r="I408" s="28"/>
      <c r="J408" s="28"/>
      <c r="K408" s="28"/>
      <c r="L408" s="50" t="s">
        <v>98</v>
      </c>
      <c r="M408" s="48"/>
      <c r="N408" s="50" t="s">
        <v>98</v>
      </c>
      <c r="O408" s="28"/>
      <c r="P408" s="37"/>
      <c r="Q408" s="28" t="str">
        <f>IF(OR(Table810[[#This Row],[Post-Review Decision]]="Include", Table810[[#This Row],[Post-Review Decision]]="Include if possible", Table810[[#This Row],[Post-Review Decision]]="Include (Omit % Avg if needed)",  Table810[[#This Row],[Post-Review Decision]]="Include (Omit % Avg)"),Table810[[#This Row],[EAR Total Capacity]],"")</f>
        <v/>
      </c>
      <c r="R408" s="28"/>
      <c r="S408" s="45">
        <v>0</v>
      </c>
      <c r="T408" s="28"/>
      <c r="U408" s="28"/>
      <c r="V408" s="13" t="s">
        <v>1871</v>
      </c>
      <c r="W408" s="12" t="b">
        <f>ISNUMBER(Table810[[#This Row],[EAR Total Capacity]])</f>
        <v>0</v>
      </c>
      <c r="X408" s="12" t="b">
        <f>IF(Table810[[#This Row],[Has  Storage for Full Averaging Period?]]="OK",TRUE,FALSE)</f>
        <v>0</v>
      </c>
      <c r="Y408" s="12" t="b">
        <f>IFERROR(IF(YEAR(Table810[[#This Row],[RISE Storage End Date]])=2025,TRUE,FALSE),FALSE)</f>
        <v>0</v>
      </c>
      <c r="Z408" s="11" t="b">
        <v>0</v>
      </c>
      <c r="AA408" s="13">
        <v>398</v>
      </c>
      <c r="AB408" s="13" t="s">
        <v>76</v>
      </c>
      <c r="AC408" s="13" t="s">
        <v>1872</v>
      </c>
      <c r="AD408" s="13" t="s">
        <v>1870</v>
      </c>
      <c r="AE408" s="13" t="s">
        <v>101</v>
      </c>
      <c r="AF408" s="13" t="s">
        <v>1873</v>
      </c>
      <c r="AG408" s="13" t="s">
        <v>91</v>
      </c>
      <c r="AH408" s="13" t="s">
        <v>102</v>
      </c>
      <c r="AI408" s="13" t="s">
        <v>103</v>
      </c>
      <c r="AJ408" s="13"/>
      <c r="AK408" s="15"/>
      <c r="AL408" s="15"/>
      <c r="AM408" s="15" t="s">
        <v>61</v>
      </c>
      <c r="AN408" s="15" t="s">
        <v>61</v>
      </c>
      <c r="AO408" s="15" t="s">
        <v>61</v>
      </c>
      <c r="AP408" s="15" t="s">
        <v>61</v>
      </c>
      <c r="AQ408" s="22"/>
      <c r="AR408" s="25"/>
      <c r="AS408" s="25"/>
      <c r="AT408" s="25"/>
      <c r="AU408" s="25"/>
      <c r="AV408" s="25"/>
      <c r="AW408" s="25"/>
      <c r="AX408" s="24"/>
    </row>
    <row r="409" spans="1:50" ht="16.5" customHeight="1">
      <c r="A409" s="36" t="s">
        <v>1874</v>
      </c>
      <c r="B409" s="28"/>
      <c r="C409" s="28" t="s">
        <v>97</v>
      </c>
      <c r="D409" s="28"/>
      <c r="E409" s="28"/>
      <c r="F409" s="28" t="s">
        <v>61</v>
      </c>
      <c r="G409" s="28"/>
      <c r="H409" s="28" t="str">
        <f>IF(ISNUMBER(Table810[[#This Row],[Total Capacity]]),"USBR Enterprise Asset Registry",IF(Table810[[#This Row],[Total Capacity]]="",""))</f>
        <v/>
      </c>
      <c r="I409" s="28"/>
      <c r="J409" s="28"/>
      <c r="K409" s="28"/>
      <c r="L409" s="50" t="s">
        <v>98</v>
      </c>
      <c r="M409" s="48"/>
      <c r="N409" s="50" t="s">
        <v>98</v>
      </c>
      <c r="O409" s="28"/>
      <c r="P409" s="37"/>
      <c r="Q409" s="28" t="str">
        <f>IF(OR(Table810[[#This Row],[Post-Review Decision]]="Include", Table810[[#This Row],[Post-Review Decision]]="Include if possible", Table810[[#This Row],[Post-Review Decision]]="Include (Omit % Avg if needed)",  Table810[[#This Row],[Post-Review Decision]]="Include (Omit % Avg)"),Table810[[#This Row],[EAR Total Capacity]],"")</f>
        <v/>
      </c>
      <c r="R409" s="28">
        <v>6250</v>
      </c>
      <c r="S409" s="46">
        <v>6850</v>
      </c>
      <c r="T409" s="28"/>
      <c r="U409" s="28"/>
      <c r="V409" s="13" t="s">
        <v>1875</v>
      </c>
      <c r="W409" s="12" t="b">
        <f>ISNUMBER(Table810[[#This Row],[EAR Total Capacity]])</f>
        <v>1</v>
      </c>
      <c r="X409" s="12" t="b">
        <f>IF(Table810[[#This Row],[Has  Storage for Full Averaging Period?]]="OK",TRUE,FALSE)</f>
        <v>0</v>
      </c>
      <c r="Y409" s="12" t="b">
        <f>IFERROR(IF(YEAR(Table810[[#This Row],[RISE Storage End Date]])=2025,TRUE,FALSE),FALSE)</f>
        <v>0</v>
      </c>
      <c r="Z409" s="11" t="b">
        <v>0</v>
      </c>
      <c r="AA409" s="13">
        <v>399</v>
      </c>
      <c r="AB409" s="13" t="s">
        <v>76</v>
      </c>
      <c r="AC409" s="13" t="s">
        <v>1876</v>
      </c>
      <c r="AD409" s="13" t="s">
        <v>1874</v>
      </c>
      <c r="AE409" s="13" t="s">
        <v>78</v>
      </c>
      <c r="AF409" s="13" t="s">
        <v>1877</v>
      </c>
      <c r="AG409" s="13" t="s">
        <v>80</v>
      </c>
      <c r="AH409" s="13" t="s">
        <v>81</v>
      </c>
      <c r="AI409" s="13" t="s">
        <v>82</v>
      </c>
      <c r="AJ409" s="13">
        <v>13450</v>
      </c>
      <c r="AK409" s="15"/>
      <c r="AL409" s="15"/>
      <c r="AM409" s="15" t="s">
        <v>61</v>
      </c>
      <c r="AN409" s="15" t="s">
        <v>61</v>
      </c>
      <c r="AO409" s="15" t="s">
        <v>61</v>
      </c>
      <c r="AP409" s="15" t="s">
        <v>61</v>
      </c>
      <c r="AQ409" s="21" t="s">
        <v>136</v>
      </c>
      <c r="AR409" s="25"/>
      <c r="AS409" s="25"/>
      <c r="AT409" s="25"/>
      <c r="AU409" s="25"/>
      <c r="AV409" s="25"/>
      <c r="AW409" s="25"/>
      <c r="AX409" s="24"/>
    </row>
    <row r="410" spans="1:50" ht="16.5" customHeight="1">
      <c r="A410" s="36" t="s">
        <v>1878</v>
      </c>
      <c r="B410" s="28" t="s">
        <v>68</v>
      </c>
      <c r="C410" s="28" t="s">
        <v>86</v>
      </c>
      <c r="D410" s="28"/>
      <c r="E410" s="28" t="s">
        <v>70</v>
      </c>
      <c r="F410" s="28">
        <v>6</v>
      </c>
      <c r="G410" s="28">
        <v>3</v>
      </c>
      <c r="H410" s="28" t="str">
        <f>IF(ISNUMBER(Table810[[#This Row],[Total Capacity]]),"USBR Enterprise Asset Registry",IF(Table810[[#This Row],[Total Capacity]]="",""))</f>
        <v>USBR Enterprise Asset Registry</v>
      </c>
      <c r="I410" s="28" t="s">
        <v>57</v>
      </c>
      <c r="J410" s="28"/>
      <c r="K410" s="28"/>
      <c r="L410" s="50">
        <v>5874</v>
      </c>
      <c r="M410" s="48"/>
      <c r="N410" s="50">
        <v>5874</v>
      </c>
      <c r="O410" s="28"/>
      <c r="P410" s="37"/>
      <c r="Q410" s="28">
        <f>IF(OR(Table810[[#This Row],[Post-Review Decision]]="Include", Table810[[#This Row],[Post-Review Decision]]="Include if possible", Table810[[#This Row],[Post-Review Decision]]="Include (Omit % Avg if needed)",  Table810[[#This Row],[Post-Review Decision]]="Include (Omit % Avg)"),Table810[[#This Row],[EAR Total Capacity]],"")</f>
        <v>5874</v>
      </c>
      <c r="R410" s="28">
        <v>5649</v>
      </c>
      <c r="S410" s="46">
        <v>5649</v>
      </c>
      <c r="T410" s="28" t="s">
        <v>1879</v>
      </c>
      <c r="U410" s="28" t="s">
        <v>1880</v>
      </c>
      <c r="V410" s="13" t="s">
        <v>358</v>
      </c>
      <c r="W410" s="12" t="b">
        <f>ISNUMBER(Table810[[#This Row],[EAR Total Capacity]])</f>
        <v>1</v>
      </c>
      <c r="X410" s="12" t="b">
        <f>IF(Table810[[#This Row],[Has  Storage for Full Averaging Period?]]="OK",TRUE,FALSE)</f>
        <v>1</v>
      </c>
      <c r="Y410" s="12" t="b">
        <f>IFERROR(IF(YEAR(Table810[[#This Row],[RISE Storage End Date]])=2025,TRUE,FALSE),FALSE)</f>
        <v>1</v>
      </c>
      <c r="Z410" s="11" t="b">
        <v>0</v>
      </c>
      <c r="AA410" s="13">
        <v>400</v>
      </c>
      <c r="AB410" s="13" t="s">
        <v>76</v>
      </c>
      <c r="AC410" s="13" t="s">
        <v>1881</v>
      </c>
      <c r="AD410" s="13" t="s">
        <v>1878</v>
      </c>
      <c r="AE410" s="13" t="s">
        <v>78</v>
      </c>
      <c r="AF410" s="13" t="s">
        <v>1882</v>
      </c>
      <c r="AG410" s="13" t="s">
        <v>159</v>
      </c>
      <c r="AH410" s="13" t="s">
        <v>160</v>
      </c>
      <c r="AI410" s="13" t="s">
        <v>93</v>
      </c>
      <c r="AJ410" s="13">
        <v>5874</v>
      </c>
      <c r="AK410" s="18"/>
      <c r="AL410" s="18"/>
      <c r="AM410" s="13" t="s">
        <v>1883</v>
      </c>
      <c r="AN410" s="13" t="s">
        <v>246</v>
      </c>
      <c r="AO410" s="13" t="s">
        <v>1878</v>
      </c>
      <c r="AP410" s="13" t="s">
        <v>1884</v>
      </c>
      <c r="AQ410" s="21" t="s">
        <v>64</v>
      </c>
      <c r="AR410" s="26">
        <v>23267</v>
      </c>
      <c r="AS410" s="26">
        <v>46007</v>
      </c>
      <c r="AT410" s="25">
        <v>22742</v>
      </c>
      <c r="AU410" s="25" t="s">
        <v>65</v>
      </c>
      <c r="AV410" s="25" t="s">
        <v>65</v>
      </c>
      <c r="AW410" s="25" t="s">
        <v>65</v>
      </c>
      <c r="AX410" s="24"/>
    </row>
    <row r="411" spans="1:50" ht="16.5" customHeight="1">
      <c r="A411" s="36" t="s">
        <v>1885</v>
      </c>
      <c r="B411" s="28" t="s">
        <v>68</v>
      </c>
      <c r="C411" s="28" t="s">
        <v>52</v>
      </c>
      <c r="D411" s="28" t="s">
        <v>303</v>
      </c>
      <c r="E411" s="28" t="s">
        <v>1886</v>
      </c>
      <c r="F411" s="28" t="s">
        <v>61</v>
      </c>
      <c r="G411" s="28" t="s">
        <v>55</v>
      </c>
      <c r="H411" s="28" t="str">
        <f>IF(ISNUMBER(Table810[[#This Row],[Total Capacity]]),"USBR Enterprise Asset Registry",IF(Table810[[#This Row],[Total Capacity]]="",""))</f>
        <v>USBR Enterprise Asset Registry</v>
      </c>
      <c r="I411" s="28" t="s">
        <v>57</v>
      </c>
      <c r="J411" s="28" t="s">
        <v>72</v>
      </c>
      <c r="K411" s="28"/>
      <c r="L411" s="50">
        <v>226500</v>
      </c>
      <c r="M411" s="48"/>
      <c r="N411" s="50">
        <v>226500</v>
      </c>
      <c r="O411" s="28"/>
      <c r="P411" s="37" t="s">
        <v>1887</v>
      </c>
      <c r="Q411" s="28">
        <f>IF(OR(Table810[[#This Row],[Post-Review Decision]]="Include", Table810[[#This Row],[Post-Review Decision]]="Include if possible", Table810[[#This Row],[Post-Review Decision]]="Include (Omit % Avg if needed)",  Table810[[#This Row],[Post-Review Decision]]="Include (Omit % Avg)"),Table810[[#This Row],[EAR Total Capacity]],"")</f>
        <v>226500</v>
      </c>
      <c r="R411" s="28">
        <v>221500</v>
      </c>
      <c r="S411" s="46">
        <v>225840</v>
      </c>
      <c r="T411" s="28" t="s">
        <v>1885</v>
      </c>
      <c r="U411" s="28" t="s">
        <v>1888</v>
      </c>
      <c r="V411" s="13" t="s">
        <v>1292</v>
      </c>
      <c r="W411" s="12" t="b">
        <f>ISNUMBER(Table810[[#This Row],[EAR Total Capacity]])</f>
        <v>1</v>
      </c>
      <c r="X411" s="12" t="b">
        <f>IF(Table810[[#This Row],[Has  Storage for Full Averaging Period?]]="OK",TRUE,FALSE)</f>
        <v>0</v>
      </c>
      <c r="Y411" s="12" t="b">
        <f>IFERROR(IF(YEAR(Table810[[#This Row],[RISE Storage End Date]])=2025,TRUE,FALSE),FALSE)</f>
        <v>0</v>
      </c>
      <c r="Z411" s="11" t="b">
        <v>0</v>
      </c>
      <c r="AA411" s="13">
        <v>401</v>
      </c>
      <c r="AB411" s="13" t="s">
        <v>76</v>
      </c>
      <c r="AC411" s="13" t="s">
        <v>1889</v>
      </c>
      <c r="AD411" s="13" t="s">
        <v>1885</v>
      </c>
      <c r="AE411" s="13" t="s">
        <v>78</v>
      </c>
      <c r="AF411" s="13" t="s">
        <v>1890</v>
      </c>
      <c r="AG411" s="13" t="s">
        <v>159</v>
      </c>
      <c r="AH411" s="13" t="s">
        <v>160</v>
      </c>
      <c r="AI411" s="13" t="s">
        <v>93</v>
      </c>
      <c r="AJ411" s="13">
        <v>226500</v>
      </c>
      <c r="AK411" s="15">
        <v>-120.1039</v>
      </c>
      <c r="AL411" s="15">
        <v>39.475099999999998</v>
      </c>
      <c r="AM411" s="15" t="s">
        <v>61</v>
      </c>
      <c r="AN411" s="15" t="s">
        <v>61</v>
      </c>
      <c r="AO411" s="15" t="s">
        <v>61</v>
      </c>
      <c r="AP411" s="15" t="s">
        <v>61</v>
      </c>
      <c r="AQ411" s="21" t="s">
        <v>136</v>
      </c>
      <c r="AR411" s="25"/>
      <c r="AS411" s="25"/>
      <c r="AT411" s="25"/>
      <c r="AU411" s="25"/>
      <c r="AV411" s="25"/>
      <c r="AW411" s="25"/>
      <c r="AX411" s="24"/>
    </row>
    <row r="412" spans="1:50" ht="16.5" customHeight="1">
      <c r="A412" s="36" t="s">
        <v>1891</v>
      </c>
      <c r="B412" s="28" t="s">
        <v>68</v>
      </c>
      <c r="C412" s="28" t="s">
        <v>86</v>
      </c>
      <c r="D412" s="28"/>
      <c r="E412" s="28" t="s">
        <v>70</v>
      </c>
      <c r="F412" s="28">
        <v>484</v>
      </c>
      <c r="G412" s="28">
        <v>3</v>
      </c>
      <c r="H412" s="28" t="str">
        <f>IF(ISNUMBER(Table810[[#This Row],[Total Capacity]]),"USBR Enterprise Asset Registry",IF(Table810[[#This Row],[Total Capacity]]="",""))</f>
        <v>USBR Enterprise Asset Registry</v>
      </c>
      <c r="I412" s="28" t="s">
        <v>257</v>
      </c>
      <c r="J412" s="28" t="s">
        <v>72</v>
      </c>
      <c r="K412" s="28"/>
      <c r="L412" s="50">
        <v>162279</v>
      </c>
      <c r="M412" s="48"/>
      <c r="N412" s="50">
        <v>162279</v>
      </c>
      <c r="O412" s="28"/>
      <c r="P412" s="37"/>
      <c r="Q412" s="28">
        <f>IF(OR(Table810[[#This Row],[Post-Review Decision]]="Include", Table810[[#This Row],[Post-Review Decision]]="Include if possible", Table810[[#This Row],[Post-Review Decision]]="Include (Omit % Avg if needed)",  Table810[[#This Row],[Post-Review Decision]]="Include (Omit % Avg)"),Table810[[#This Row],[EAR Total Capacity]],"")</f>
        <v>164118</v>
      </c>
      <c r="R412" s="28">
        <v>149460</v>
      </c>
      <c r="S412" s="46">
        <v>162279</v>
      </c>
      <c r="T412" s="28" t="s">
        <v>1891</v>
      </c>
      <c r="U412" s="28" t="s">
        <v>1892</v>
      </c>
      <c r="V412" s="13" t="s">
        <v>606</v>
      </c>
      <c r="W412" s="12" t="b">
        <f>ISNUMBER(Table810[[#This Row],[EAR Total Capacity]])</f>
        <v>1</v>
      </c>
      <c r="X412" s="12" t="b">
        <f>IF(Table810[[#This Row],[Has  Storage for Full Averaging Period?]]="OK",TRUE,FALSE)</f>
        <v>1</v>
      </c>
      <c r="Y412" s="12" t="b">
        <f>IFERROR(IF(YEAR(Table810[[#This Row],[RISE Storage End Date]])=2025,TRUE,FALSE),FALSE)</f>
        <v>1</v>
      </c>
      <c r="Z412" s="11" t="b">
        <v>0</v>
      </c>
      <c r="AA412" s="13">
        <v>402</v>
      </c>
      <c r="AB412" s="13" t="s">
        <v>76</v>
      </c>
      <c r="AC412" s="13" t="s">
        <v>1893</v>
      </c>
      <c r="AD412" s="13" t="s">
        <v>1891</v>
      </c>
      <c r="AE412" s="13" t="s">
        <v>78</v>
      </c>
      <c r="AF412" s="13" t="s">
        <v>1894</v>
      </c>
      <c r="AG412" s="13" t="s">
        <v>91</v>
      </c>
      <c r="AH412" s="13" t="s">
        <v>102</v>
      </c>
      <c r="AI412" s="13" t="s">
        <v>93</v>
      </c>
      <c r="AJ412" s="13">
        <v>164118</v>
      </c>
      <c r="AK412" s="18"/>
      <c r="AL412" s="18"/>
      <c r="AM412" s="13" t="s">
        <v>1895</v>
      </c>
      <c r="AN412" s="13" t="s">
        <v>63</v>
      </c>
      <c r="AO412" s="13" t="s">
        <v>1891</v>
      </c>
      <c r="AP412" s="13" t="s">
        <v>1891</v>
      </c>
      <c r="AQ412" s="21" t="s">
        <v>64</v>
      </c>
      <c r="AR412" s="26">
        <v>25538</v>
      </c>
      <c r="AS412" s="26">
        <v>46006</v>
      </c>
      <c r="AT412" s="25">
        <v>20470</v>
      </c>
      <c r="AU412" s="25" t="s">
        <v>65</v>
      </c>
      <c r="AV412" s="25" t="s">
        <v>65</v>
      </c>
      <c r="AW412" s="25" t="s">
        <v>65</v>
      </c>
      <c r="AX412" s="24"/>
    </row>
    <row r="413" spans="1:50" ht="16.5" customHeight="1">
      <c r="A413" s="36" t="s">
        <v>1896</v>
      </c>
      <c r="B413" s="28" t="s">
        <v>68</v>
      </c>
      <c r="C413" s="28" t="s">
        <v>86</v>
      </c>
      <c r="D413" s="28"/>
      <c r="E413" s="28" t="s">
        <v>70</v>
      </c>
      <c r="F413" s="28">
        <v>485</v>
      </c>
      <c r="G413" s="28">
        <v>3</v>
      </c>
      <c r="H413" s="28" t="str">
        <f>IF(ISNUMBER(Table810[[#This Row],[Total Capacity]]),"USBR Enterprise Asset Registry",IF(Table810[[#This Row],[Total Capacity]]="",""))</f>
        <v>USBR Enterprise Asset Registry</v>
      </c>
      <c r="I413" s="28" t="s">
        <v>257</v>
      </c>
      <c r="J413" s="28" t="s">
        <v>72</v>
      </c>
      <c r="K413" s="28"/>
      <c r="L413" s="50">
        <v>13880</v>
      </c>
      <c r="M413" s="48"/>
      <c r="N413" s="50">
        <v>13880</v>
      </c>
      <c r="O413" s="28"/>
      <c r="P413" s="37"/>
      <c r="Q413" s="28">
        <f>IF(OR(Table810[[#This Row],[Post-Review Decision]]="Include", Table810[[#This Row],[Post-Review Decision]]="Include if possible", Table810[[#This Row],[Post-Review Decision]]="Include (Omit % Avg if needed)",  Table810[[#This Row],[Post-Review Decision]]="Include (Omit % Avg)"),Table810[[#This Row],[EAR Total Capacity]],"")</f>
        <v>14000</v>
      </c>
      <c r="R413" s="28">
        <v>12000</v>
      </c>
      <c r="S413" s="46">
        <v>13880</v>
      </c>
      <c r="T413" s="28" t="s">
        <v>1896</v>
      </c>
      <c r="U413" s="28" t="s">
        <v>1897</v>
      </c>
      <c r="V413" s="13" t="s">
        <v>1342</v>
      </c>
      <c r="W413" s="12" t="b">
        <f>ISNUMBER(Table810[[#This Row],[EAR Total Capacity]])</f>
        <v>1</v>
      </c>
      <c r="X413" s="12" t="b">
        <f>IF(Table810[[#This Row],[Has  Storage for Full Averaging Period?]]="OK",TRUE,FALSE)</f>
        <v>1</v>
      </c>
      <c r="Y413" s="12" t="b">
        <f>IFERROR(IF(YEAR(Table810[[#This Row],[RISE Storage End Date]])=2025,TRUE,FALSE),FALSE)</f>
        <v>1</v>
      </c>
      <c r="Z413" s="11" t="b">
        <v>0</v>
      </c>
      <c r="AA413" s="13">
        <v>403</v>
      </c>
      <c r="AB413" s="13" t="s">
        <v>76</v>
      </c>
      <c r="AC413" s="13" t="s">
        <v>1898</v>
      </c>
      <c r="AD413" s="13" t="s">
        <v>1896</v>
      </c>
      <c r="AE413" s="13" t="s">
        <v>78</v>
      </c>
      <c r="AF413" s="13" t="s">
        <v>1899</v>
      </c>
      <c r="AG413" s="13" t="s">
        <v>91</v>
      </c>
      <c r="AH413" s="13" t="s">
        <v>102</v>
      </c>
      <c r="AI413" s="13" t="s">
        <v>93</v>
      </c>
      <c r="AJ413" s="13">
        <v>14000</v>
      </c>
      <c r="AK413" s="18"/>
      <c r="AL413" s="18"/>
      <c r="AM413" s="13" t="s">
        <v>1900</v>
      </c>
      <c r="AN413" s="13" t="s">
        <v>63</v>
      </c>
      <c r="AO413" s="13" t="s">
        <v>1896</v>
      </c>
      <c r="AP413" s="13" t="s">
        <v>1896</v>
      </c>
      <c r="AQ413" s="21" t="s">
        <v>64</v>
      </c>
      <c r="AR413" s="26">
        <v>29034</v>
      </c>
      <c r="AS413" s="26">
        <v>46007</v>
      </c>
      <c r="AT413" s="25">
        <v>16975</v>
      </c>
      <c r="AU413" s="25" t="s">
        <v>65</v>
      </c>
      <c r="AV413" s="25" t="s">
        <v>65</v>
      </c>
      <c r="AW413" s="25" t="s">
        <v>65</v>
      </c>
      <c r="AX413" s="24"/>
    </row>
    <row r="414" spans="1:50" ht="16.5" customHeight="1">
      <c r="A414" s="36" t="s">
        <v>1901</v>
      </c>
      <c r="B414" s="28" t="s">
        <v>68</v>
      </c>
      <c r="C414" s="28" t="s">
        <v>86</v>
      </c>
      <c r="D414" s="28"/>
      <c r="E414" s="28" t="s">
        <v>70</v>
      </c>
      <c r="F414" s="28">
        <v>486</v>
      </c>
      <c r="G414" s="28">
        <v>3</v>
      </c>
      <c r="H414" s="28" t="str">
        <f>IF(ISNUMBER(Table810[[#This Row],[Total Capacity]]),"USBR Enterprise Asset Registry",IF(Table810[[#This Row],[Total Capacity]]="",""))</f>
        <v>USBR Enterprise Asset Registry</v>
      </c>
      <c r="I414" s="28" t="s">
        <v>257</v>
      </c>
      <c r="J414" s="28" t="s">
        <v>72</v>
      </c>
      <c r="K414" s="28"/>
      <c r="L414" s="50">
        <v>36148</v>
      </c>
      <c r="M414" s="48"/>
      <c r="N414" s="50">
        <v>36148</v>
      </c>
      <c r="O414" s="28"/>
      <c r="P414" s="37"/>
      <c r="Q414" s="28">
        <f>IF(OR(Table810[[#This Row],[Post-Review Decision]]="Include", Table810[[#This Row],[Post-Review Decision]]="Include if possible", Table810[[#This Row],[Post-Review Decision]]="Include (Omit % Avg if needed)",  Table810[[#This Row],[Post-Review Decision]]="Include (Omit % Avg)"),Table810[[#This Row],[EAR Total Capacity]],"")</f>
        <v>40043</v>
      </c>
      <c r="R414" s="28">
        <v>34955</v>
      </c>
      <c r="S414" s="46">
        <v>36148</v>
      </c>
      <c r="T414" s="28" t="s">
        <v>1901</v>
      </c>
      <c r="U414" s="28" t="s">
        <v>1902</v>
      </c>
      <c r="V414" s="13" t="s">
        <v>814</v>
      </c>
      <c r="W414" s="12" t="b">
        <f>ISNUMBER(Table810[[#This Row],[EAR Total Capacity]])</f>
        <v>1</v>
      </c>
      <c r="X414" s="12" t="b">
        <f>IF(Table810[[#This Row],[Has  Storage for Full Averaging Period?]]="OK",TRUE,FALSE)</f>
        <v>1</v>
      </c>
      <c r="Y414" s="12" t="b">
        <f>IFERROR(IF(YEAR(Table810[[#This Row],[RISE Storage End Date]])=2025,TRUE,FALSE),FALSE)</f>
        <v>1</v>
      </c>
      <c r="Z414" s="11" t="b">
        <v>0</v>
      </c>
      <c r="AA414" s="13">
        <v>404</v>
      </c>
      <c r="AB414" s="13" t="s">
        <v>76</v>
      </c>
      <c r="AC414" s="13" t="s">
        <v>1903</v>
      </c>
      <c r="AD414" s="13" t="s">
        <v>1901</v>
      </c>
      <c r="AE414" s="13" t="s">
        <v>78</v>
      </c>
      <c r="AF414" s="13" t="s">
        <v>1904</v>
      </c>
      <c r="AG414" s="13" t="s">
        <v>91</v>
      </c>
      <c r="AH414" s="13" t="s">
        <v>102</v>
      </c>
      <c r="AI414" s="13" t="s">
        <v>82</v>
      </c>
      <c r="AJ414" s="13">
        <v>40043</v>
      </c>
      <c r="AK414" s="18"/>
      <c r="AL414" s="18"/>
      <c r="AM414" s="13" t="s">
        <v>1905</v>
      </c>
      <c r="AN414" s="13" t="s">
        <v>63</v>
      </c>
      <c r="AO414" s="13" t="s">
        <v>1901</v>
      </c>
      <c r="AP414" s="13" t="s">
        <v>1901</v>
      </c>
      <c r="AQ414" s="21" t="s">
        <v>64</v>
      </c>
      <c r="AR414" s="26">
        <v>27303</v>
      </c>
      <c r="AS414" s="26">
        <v>46003</v>
      </c>
      <c r="AT414" s="25">
        <v>18704</v>
      </c>
      <c r="AU414" s="25" t="s">
        <v>65</v>
      </c>
      <c r="AV414" s="25" t="s">
        <v>65</v>
      </c>
      <c r="AW414" s="25" t="s">
        <v>65</v>
      </c>
      <c r="AX414" s="24"/>
    </row>
    <row r="415" spans="1:50" ht="16.5" customHeight="1">
      <c r="A415" s="36" t="s">
        <v>1906</v>
      </c>
      <c r="B415" s="28"/>
      <c r="C415" s="28" t="s">
        <v>97</v>
      </c>
      <c r="D415" s="28"/>
      <c r="E415" s="28"/>
      <c r="F415" s="28" t="s">
        <v>61</v>
      </c>
      <c r="G415" s="28"/>
      <c r="H415" s="28" t="str">
        <f>IF(ISNUMBER(Table810[[#This Row],[Total Capacity]]),"USBR Enterprise Asset Registry",IF(Table810[[#This Row],[Total Capacity]]="",""))</f>
        <v/>
      </c>
      <c r="I415" s="28"/>
      <c r="J415" s="28"/>
      <c r="K415" s="28"/>
      <c r="L415" s="50" t="s">
        <v>98</v>
      </c>
      <c r="M415" s="48"/>
      <c r="N415" s="50" t="s">
        <v>98</v>
      </c>
      <c r="O415" s="28"/>
      <c r="P415" s="37"/>
      <c r="Q415" s="28" t="str">
        <f>IF(OR(Table810[[#This Row],[Post-Review Decision]]="Include", Table810[[#This Row],[Post-Review Decision]]="Include if possible", Table810[[#This Row],[Post-Review Decision]]="Include (Omit % Avg if needed)",  Table810[[#This Row],[Post-Review Decision]]="Include (Omit % Avg)"),Table810[[#This Row],[EAR Total Capacity]],"")</f>
        <v/>
      </c>
      <c r="R415" s="28"/>
      <c r="S415" s="45">
        <v>0</v>
      </c>
      <c r="T415" s="28"/>
      <c r="U415" s="28"/>
      <c r="V415" s="13" t="s">
        <v>465</v>
      </c>
      <c r="W415" s="12" t="b">
        <f>ISNUMBER(Table810[[#This Row],[EAR Total Capacity]])</f>
        <v>0</v>
      </c>
      <c r="X415" s="12" t="b">
        <f>IF(Table810[[#This Row],[Has  Storage for Full Averaging Period?]]="OK",TRUE,FALSE)</f>
        <v>0</v>
      </c>
      <c r="Y415" s="12" t="b">
        <f>IFERROR(IF(YEAR(Table810[[#This Row],[RISE Storage End Date]])=2025,TRUE,FALSE),FALSE)</f>
        <v>0</v>
      </c>
      <c r="Z415" s="11" t="b">
        <v>0</v>
      </c>
      <c r="AA415" s="13">
        <v>405</v>
      </c>
      <c r="AB415" s="13" t="s">
        <v>76</v>
      </c>
      <c r="AC415" s="13" t="s">
        <v>1907</v>
      </c>
      <c r="AD415" s="13" t="s">
        <v>1906</v>
      </c>
      <c r="AE415" s="13" t="s">
        <v>101</v>
      </c>
      <c r="AF415" s="13" t="s">
        <v>1908</v>
      </c>
      <c r="AG415" s="13" t="s">
        <v>91</v>
      </c>
      <c r="AH415" s="13" t="s">
        <v>102</v>
      </c>
      <c r="AI415" s="13" t="s">
        <v>103</v>
      </c>
      <c r="AJ415" s="13"/>
      <c r="AK415" s="15"/>
      <c r="AL415" s="15"/>
      <c r="AM415" s="15" t="s">
        <v>61</v>
      </c>
      <c r="AN415" s="15" t="s">
        <v>61</v>
      </c>
      <c r="AO415" s="15" t="s">
        <v>61</v>
      </c>
      <c r="AP415" s="15" t="s">
        <v>61</v>
      </c>
      <c r="AQ415" s="22"/>
      <c r="AR415" s="25"/>
      <c r="AS415" s="25"/>
      <c r="AT415" s="25"/>
      <c r="AU415" s="25"/>
      <c r="AV415" s="25"/>
      <c r="AW415" s="25"/>
      <c r="AX415" s="24"/>
    </row>
    <row r="416" spans="1:50" ht="16.5" customHeight="1">
      <c r="A416" s="36" t="s">
        <v>1909</v>
      </c>
      <c r="B416" s="28"/>
      <c r="C416" s="28" t="s">
        <v>97</v>
      </c>
      <c r="D416" s="28"/>
      <c r="E416" s="28"/>
      <c r="F416" s="28" t="s">
        <v>61</v>
      </c>
      <c r="G416" s="28"/>
      <c r="H416" s="28" t="str">
        <f>IF(ISNUMBER(Table810[[#This Row],[Total Capacity]]),"USBR Enterprise Asset Registry",IF(Table810[[#This Row],[Total Capacity]]="",""))</f>
        <v/>
      </c>
      <c r="I416" s="28"/>
      <c r="J416" s="28"/>
      <c r="K416" s="28"/>
      <c r="L416" s="50" t="s">
        <v>98</v>
      </c>
      <c r="M416" s="48"/>
      <c r="N416" s="50" t="s">
        <v>98</v>
      </c>
      <c r="O416" s="28"/>
      <c r="P416" s="37"/>
      <c r="Q416" s="28" t="str">
        <f>IF(OR(Table810[[#This Row],[Post-Review Decision]]="Include", Table810[[#This Row],[Post-Review Decision]]="Include if possible", Table810[[#This Row],[Post-Review Decision]]="Include (Omit % Avg if needed)",  Table810[[#This Row],[Post-Review Decision]]="Include (Omit % Avg)"),Table810[[#This Row],[EAR Total Capacity]],"")</f>
        <v/>
      </c>
      <c r="R416" s="28">
        <v>50350</v>
      </c>
      <c r="S416" s="46">
        <v>58465</v>
      </c>
      <c r="T416" s="28"/>
      <c r="U416" s="28"/>
      <c r="V416" s="13" t="s">
        <v>684</v>
      </c>
      <c r="W416" s="12" t="b">
        <f>ISNUMBER(Table810[[#This Row],[EAR Total Capacity]])</f>
        <v>1</v>
      </c>
      <c r="X416" s="12" t="b">
        <f>IF(Table810[[#This Row],[Has  Storage for Full Averaging Period?]]="OK",TRUE,FALSE)</f>
        <v>0</v>
      </c>
      <c r="Y416" s="12" t="b">
        <f>IFERROR(IF(YEAR(Table810[[#This Row],[RISE Storage End Date]])=2025,TRUE,FALSE),FALSE)</f>
        <v>0</v>
      </c>
      <c r="Z416" s="11" t="b">
        <v>0</v>
      </c>
      <c r="AA416" s="13">
        <v>406</v>
      </c>
      <c r="AB416" s="13" t="s">
        <v>76</v>
      </c>
      <c r="AC416" s="13" t="s">
        <v>1910</v>
      </c>
      <c r="AD416" s="13" t="s">
        <v>1909</v>
      </c>
      <c r="AE416" s="13" t="s">
        <v>78</v>
      </c>
      <c r="AF416" s="13" t="s">
        <v>1911</v>
      </c>
      <c r="AG416" s="13" t="s">
        <v>159</v>
      </c>
      <c r="AH416" s="13" t="s">
        <v>160</v>
      </c>
      <c r="AI416" s="13" t="s">
        <v>93</v>
      </c>
      <c r="AJ416" s="13">
        <v>58500</v>
      </c>
      <c r="AK416" s="15"/>
      <c r="AL416" s="15"/>
      <c r="AM416" s="15" t="s">
        <v>61</v>
      </c>
      <c r="AN416" s="15" t="s">
        <v>61</v>
      </c>
      <c r="AO416" s="15" t="s">
        <v>61</v>
      </c>
      <c r="AP416" s="15" t="s">
        <v>61</v>
      </c>
      <c r="AQ416" s="21" t="s">
        <v>136</v>
      </c>
      <c r="AR416" s="25"/>
      <c r="AS416" s="25"/>
      <c r="AT416" s="25"/>
      <c r="AU416" s="25"/>
      <c r="AV416" s="25"/>
      <c r="AW416" s="25"/>
      <c r="AX416" s="24"/>
    </row>
    <row r="417" spans="1:50" ht="16.5" customHeight="1">
      <c r="A417" s="36" t="s">
        <v>1912</v>
      </c>
      <c r="B417" s="28" t="s">
        <v>68</v>
      </c>
      <c r="C417" s="28" t="s">
        <v>86</v>
      </c>
      <c r="D417" s="28"/>
      <c r="E417" s="28" t="s">
        <v>70</v>
      </c>
      <c r="F417" s="28">
        <v>488</v>
      </c>
      <c r="G417" s="28">
        <v>3</v>
      </c>
      <c r="H417" s="28" t="str">
        <f>IF(ISNUMBER(Table810[[#This Row],[Total Capacity]]),"USBR Enterprise Asset Registry",IF(Table810[[#This Row],[Total Capacity]]="",""))</f>
        <v>USBR Enterprise Asset Registry</v>
      </c>
      <c r="I417" s="28" t="s">
        <v>257</v>
      </c>
      <c r="J417" s="28" t="s">
        <v>72</v>
      </c>
      <c r="K417" s="28"/>
      <c r="L417" s="50">
        <v>1105910</v>
      </c>
      <c r="M417" s="48"/>
      <c r="N417" s="50">
        <v>1105910</v>
      </c>
      <c r="O417" s="28"/>
      <c r="P417" s="37"/>
      <c r="Q417" s="28">
        <f>IF(OR(Table810[[#This Row],[Post-Review Decision]]="Include", Table810[[#This Row],[Post-Review Decision]]="Include if possible", Table810[[#This Row],[Post-Review Decision]]="Include (Omit % Avg if needed)",  Table810[[#This Row],[Post-Review Decision]]="Include (Omit % Avg)"),Table810[[#This Row],[EAR Total Capacity]],"")</f>
        <v>1106500</v>
      </c>
      <c r="R417" s="28">
        <v>951360</v>
      </c>
      <c r="S417" s="46">
        <v>1105910</v>
      </c>
      <c r="T417" s="28" t="s">
        <v>1913</v>
      </c>
      <c r="U417" s="28" t="s">
        <v>1914</v>
      </c>
      <c r="V417" s="13" t="s">
        <v>606</v>
      </c>
      <c r="W417" s="12" t="b">
        <f>ISNUMBER(Table810[[#This Row],[EAR Total Capacity]])</f>
        <v>1</v>
      </c>
      <c r="X417" s="12" t="b">
        <f>IF(Table810[[#This Row],[Has  Storage for Full Averaging Period?]]="OK",TRUE,FALSE)</f>
        <v>1</v>
      </c>
      <c r="Y417" s="12" t="b">
        <f>IFERROR(IF(YEAR(Table810[[#This Row],[RISE Storage End Date]])=2025,TRUE,FALSE),FALSE)</f>
        <v>1</v>
      </c>
      <c r="Z417" s="11" t="b">
        <v>0</v>
      </c>
      <c r="AA417" s="13">
        <v>407</v>
      </c>
      <c r="AB417" s="13" t="s">
        <v>76</v>
      </c>
      <c r="AC417" s="13" t="s">
        <v>1915</v>
      </c>
      <c r="AD417" s="13" t="s">
        <v>1912</v>
      </c>
      <c r="AE417" s="13" t="s">
        <v>78</v>
      </c>
      <c r="AF417" s="13" t="s">
        <v>1916</v>
      </c>
      <c r="AG417" s="13" t="s">
        <v>91</v>
      </c>
      <c r="AH417" s="13" t="s">
        <v>102</v>
      </c>
      <c r="AI417" s="13" t="s">
        <v>82</v>
      </c>
      <c r="AJ417" s="13">
        <v>1106500</v>
      </c>
      <c r="AK417" s="18"/>
      <c r="AL417" s="18"/>
      <c r="AM417" s="13" t="s">
        <v>1917</v>
      </c>
      <c r="AN417" s="13" t="s">
        <v>63</v>
      </c>
      <c r="AO417" s="13" t="s">
        <v>1912</v>
      </c>
      <c r="AP417" s="13" t="s">
        <v>1918</v>
      </c>
      <c r="AQ417" s="21" t="s">
        <v>64</v>
      </c>
      <c r="AR417" s="26">
        <v>27514</v>
      </c>
      <c r="AS417" s="26">
        <v>46006</v>
      </c>
      <c r="AT417" s="25">
        <v>18494</v>
      </c>
      <c r="AU417" s="25" t="s">
        <v>65</v>
      </c>
      <c r="AV417" s="25" t="s">
        <v>65</v>
      </c>
      <c r="AW417" s="25" t="s">
        <v>65</v>
      </c>
      <c r="AX417" s="24"/>
    </row>
    <row r="418" spans="1:50" ht="16.5" customHeight="1">
      <c r="A418" s="36" t="s">
        <v>1919</v>
      </c>
      <c r="B418" s="28" t="s">
        <v>68</v>
      </c>
      <c r="C418" s="28" t="s">
        <v>86</v>
      </c>
      <c r="D418" s="28"/>
      <c r="E418" s="28" t="s">
        <v>70</v>
      </c>
      <c r="F418" s="28">
        <v>489</v>
      </c>
      <c r="G418" s="28">
        <v>3</v>
      </c>
      <c r="H418" s="28" t="str">
        <f>IF(ISNUMBER(Table810[[#This Row],[Total Capacity]]),"USBR Enterprise Asset Registry",IF(Table810[[#This Row],[Total Capacity]]="",""))</f>
        <v>USBR Enterprise Asset Registry</v>
      </c>
      <c r="I418" s="28" t="s">
        <v>57</v>
      </c>
      <c r="J418" s="28" t="s">
        <v>127</v>
      </c>
      <c r="K418" s="28"/>
      <c r="L418" s="50">
        <v>124119</v>
      </c>
      <c r="M418" s="48">
        <v>35211</v>
      </c>
      <c r="N418" s="50">
        <v>35211</v>
      </c>
      <c r="O418" s="28"/>
      <c r="P418" s="37"/>
      <c r="Q418" s="28">
        <f>IF(OR(Table810[[#This Row],[Post-Review Decision]]="Include", Table810[[#This Row],[Post-Review Decision]]="Include if possible", Table810[[#This Row],[Post-Review Decision]]="Include (Omit % Avg if needed)",  Table810[[#This Row],[Post-Review Decision]]="Include (Omit % Avg)"),Table810[[#This Row],[EAR Total Capacity]],"")</f>
        <v>124119</v>
      </c>
      <c r="R418" s="28">
        <v>126813</v>
      </c>
      <c r="S418" s="46">
        <v>124119</v>
      </c>
      <c r="T418" s="28" t="s">
        <v>1919</v>
      </c>
      <c r="U418" s="28" t="s">
        <v>1920</v>
      </c>
      <c r="V418" s="13" t="s">
        <v>200</v>
      </c>
      <c r="W418" s="12" t="b">
        <f>ISNUMBER(Table810[[#This Row],[EAR Total Capacity]])</f>
        <v>1</v>
      </c>
      <c r="X418" s="12" t="b">
        <f>IF(Table810[[#This Row],[Has  Storage for Full Averaging Period?]]="OK",TRUE,FALSE)</f>
        <v>1</v>
      </c>
      <c r="Y418" s="12" t="b">
        <f>IFERROR(IF(YEAR(Table810[[#This Row],[RISE Storage End Date]])=2025,TRUE,FALSE),FALSE)</f>
        <v>1</v>
      </c>
      <c r="Z418" s="11" t="b">
        <v>0</v>
      </c>
      <c r="AA418" s="13">
        <v>409</v>
      </c>
      <c r="AB418" s="13" t="s">
        <v>76</v>
      </c>
      <c r="AC418" s="13" t="s">
        <v>1921</v>
      </c>
      <c r="AD418" s="13" t="s">
        <v>1919</v>
      </c>
      <c r="AE418" s="13" t="s">
        <v>78</v>
      </c>
      <c r="AF418" s="13" t="s">
        <v>1922</v>
      </c>
      <c r="AG418" s="13" t="s">
        <v>91</v>
      </c>
      <c r="AH418" s="13" t="s">
        <v>102</v>
      </c>
      <c r="AI418" s="13" t="s">
        <v>93</v>
      </c>
      <c r="AJ418" s="13">
        <v>124119</v>
      </c>
      <c r="AK418" s="18"/>
      <c r="AL418" s="18"/>
      <c r="AM418" s="13" t="s">
        <v>1923</v>
      </c>
      <c r="AN418" s="13" t="s">
        <v>63</v>
      </c>
      <c r="AO418" s="13" t="s">
        <v>1919</v>
      </c>
      <c r="AP418" s="13" t="s">
        <v>1919</v>
      </c>
      <c r="AQ418" s="21" t="s">
        <v>64</v>
      </c>
      <c r="AR418" s="26">
        <v>24016</v>
      </c>
      <c r="AS418" s="26">
        <v>46007</v>
      </c>
      <c r="AT418" s="25">
        <v>21993</v>
      </c>
      <c r="AU418" s="25" t="s">
        <v>65</v>
      </c>
      <c r="AV418" s="25" t="s">
        <v>65</v>
      </c>
      <c r="AW418" s="25" t="s">
        <v>65</v>
      </c>
      <c r="AX418" s="24"/>
    </row>
    <row r="419" spans="1:50" ht="16.5" customHeight="1">
      <c r="A419" s="36" t="s">
        <v>1924</v>
      </c>
      <c r="B419" s="28"/>
      <c r="C419" s="28" t="s">
        <v>97</v>
      </c>
      <c r="D419" s="28"/>
      <c r="E419" s="28"/>
      <c r="F419" s="28" t="s">
        <v>61</v>
      </c>
      <c r="G419" s="28"/>
      <c r="H419" s="28" t="str">
        <f>IF(ISNUMBER(Table810[[#This Row],[Total Capacity]]),"USBR Enterprise Asset Registry",IF(Table810[[#This Row],[Total Capacity]]="",""))</f>
        <v/>
      </c>
      <c r="I419" s="28"/>
      <c r="J419" s="28"/>
      <c r="K419" s="28"/>
      <c r="L419" s="50" t="s">
        <v>98</v>
      </c>
      <c r="M419" s="48"/>
      <c r="N419" s="50" t="s">
        <v>98</v>
      </c>
      <c r="O419" s="28"/>
      <c r="P419" s="37"/>
      <c r="Q419" s="28" t="str">
        <f>IF(OR(Table810[[#This Row],[Post-Review Decision]]="Include", Table810[[#This Row],[Post-Review Decision]]="Include if possible", Table810[[#This Row],[Post-Review Decision]]="Include (Omit % Avg if needed)",  Table810[[#This Row],[Post-Review Decision]]="Include (Omit % Avg)"),Table810[[#This Row],[EAR Total Capacity]],"")</f>
        <v/>
      </c>
      <c r="R419" s="28"/>
      <c r="S419" s="45">
        <v>0</v>
      </c>
      <c r="T419" s="28"/>
      <c r="U419" s="28"/>
      <c r="V419" s="13" t="s">
        <v>385</v>
      </c>
      <c r="W419" s="12" t="b">
        <f>ISNUMBER(Table810[[#This Row],[EAR Total Capacity]])</f>
        <v>0</v>
      </c>
      <c r="X419" s="12" t="b">
        <f>IF(Table810[[#This Row],[Has  Storage for Full Averaging Period?]]="OK",TRUE,FALSE)</f>
        <v>0</v>
      </c>
      <c r="Y419" s="12" t="b">
        <f>IFERROR(IF(YEAR(Table810[[#This Row],[RISE Storage End Date]])=2025,TRUE,FALSE),FALSE)</f>
        <v>0</v>
      </c>
      <c r="Z419" s="11" t="b">
        <v>0</v>
      </c>
      <c r="AA419" s="13">
        <v>410</v>
      </c>
      <c r="AB419" s="13" t="s">
        <v>76</v>
      </c>
      <c r="AC419" s="13" t="s">
        <v>1925</v>
      </c>
      <c r="AD419" s="13" t="s">
        <v>1924</v>
      </c>
      <c r="AE419" s="13" t="s">
        <v>101</v>
      </c>
      <c r="AF419" s="13" t="s">
        <v>1926</v>
      </c>
      <c r="AG419" s="13" t="s">
        <v>80</v>
      </c>
      <c r="AH419" s="13" t="s">
        <v>81</v>
      </c>
      <c r="AI419" s="13" t="s">
        <v>103</v>
      </c>
      <c r="AJ419" s="13"/>
      <c r="AK419" s="15"/>
      <c r="AL419" s="15"/>
      <c r="AM419" s="15" t="s">
        <v>61</v>
      </c>
      <c r="AN419" s="15" t="s">
        <v>61</v>
      </c>
      <c r="AO419" s="15" t="s">
        <v>61</v>
      </c>
      <c r="AP419" s="15" t="s">
        <v>61</v>
      </c>
      <c r="AQ419" s="22"/>
      <c r="AR419" s="25"/>
      <c r="AS419" s="25"/>
      <c r="AT419" s="25"/>
      <c r="AU419" s="25"/>
      <c r="AV419" s="25"/>
      <c r="AW419" s="25"/>
      <c r="AX419" s="24"/>
    </row>
    <row r="420" spans="1:50" ht="16.5" customHeight="1">
      <c r="A420" s="36" t="s">
        <v>1927</v>
      </c>
      <c r="B420" s="28" t="s">
        <v>68</v>
      </c>
      <c r="C420" s="29" t="s">
        <v>52</v>
      </c>
      <c r="D420" s="28" t="s">
        <v>125</v>
      </c>
      <c r="E420" s="28" t="s">
        <v>126</v>
      </c>
      <c r="F420" s="28">
        <v>3667</v>
      </c>
      <c r="G420" s="28">
        <v>3</v>
      </c>
      <c r="H420" s="28" t="str">
        <f>IF(ISNUMBER(Table810[[#This Row],[Total Capacity]]),"USBR Enterprise Asset Registry",IF(Table810[[#This Row],[Total Capacity]]="",""))</f>
        <v>USBR Enterprise Asset Registry</v>
      </c>
      <c r="I420" s="28" t="s">
        <v>57</v>
      </c>
      <c r="J420" s="28" t="s">
        <v>127</v>
      </c>
      <c r="K420" s="33">
        <v>134187</v>
      </c>
      <c r="L420" s="50">
        <v>110175</v>
      </c>
      <c r="M420" s="48"/>
      <c r="N420" s="50">
        <v>110175</v>
      </c>
      <c r="O420" s="28"/>
      <c r="P420" s="38" t="s">
        <v>1928</v>
      </c>
      <c r="Q420" s="28">
        <f>IF(OR(Table810[[#This Row],[Post-Review Decision]]="Include", Table810[[#This Row],[Post-Review Decision]]="Include if possible", Table810[[#This Row],[Post-Review Decision]]="Include (Omit % Avg if needed)",  Table810[[#This Row],[Post-Review Decision]]="Include (Omit % Avg)"),Table810[[#This Row],[EAR Total Capacity]],"")</f>
        <v>244362</v>
      </c>
      <c r="R420" s="28">
        <v>234033</v>
      </c>
      <c r="S420" s="46">
        <v>243335</v>
      </c>
      <c r="T420" s="28" t="s">
        <v>1929</v>
      </c>
      <c r="U420" s="28" t="s">
        <v>1930</v>
      </c>
      <c r="V420" s="13" t="s">
        <v>220</v>
      </c>
      <c r="W420" s="12" t="b">
        <f>ISNUMBER(Table810[[#This Row],[EAR Total Capacity]])</f>
        <v>1</v>
      </c>
      <c r="X420" s="12" t="b">
        <f>IF(Table810[[#This Row],[Has  Storage for Full Averaging Period?]]="OK",TRUE,FALSE)</f>
        <v>0</v>
      </c>
      <c r="Y420" s="12" t="b">
        <f>IFERROR(IF(YEAR(Table810[[#This Row],[RISE Storage End Date]])=2025,TRUE,FALSE),FALSE)</f>
        <v>0</v>
      </c>
      <c r="Z420" s="11" t="b">
        <v>0</v>
      </c>
      <c r="AA420" s="13">
        <v>411</v>
      </c>
      <c r="AB420" s="13" t="s">
        <v>76</v>
      </c>
      <c r="AC420" s="13" t="s">
        <v>1931</v>
      </c>
      <c r="AD420" s="13" t="s">
        <v>1927</v>
      </c>
      <c r="AE420" s="13" t="s">
        <v>78</v>
      </c>
      <c r="AF420" s="13" t="s">
        <v>1932</v>
      </c>
      <c r="AG420" s="13" t="s">
        <v>109</v>
      </c>
      <c r="AH420" s="13" t="s">
        <v>92</v>
      </c>
      <c r="AI420" s="13" t="s">
        <v>93</v>
      </c>
      <c r="AJ420" s="13">
        <v>244362</v>
      </c>
      <c r="AK420" s="18"/>
      <c r="AL420" s="18"/>
      <c r="AM420" s="13" t="s">
        <v>1933</v>
      </c>
      <c r="AN420" s="13" t="s">
        <v>95</v>
      </c>
      <c r="AO420" s="11" t="s">
        <v>1927</v>
      </c>
      <c r="AP420" s="11" t="s">
        <v>1934</v>
      </c>
      <c r="AQ420" s="21" t="s">
        <v>136</v>
      </c>
      <c r="AR420" s="25"/>
      <c r="AS420" s="25"/>
      <c r="AT420" s="25"/>
      <c r="AU420" s="25"/>
      <c r="AV420" s="25"/>
      <c r="AW420" s="25"/>
      <c r="AX420" s="24"/>
    </row>
    <row r="421" spans="1:50" ht="16.5" customHeight="1">
      <c r="A421" s="36" t="s">
        <v>1935</v>
      </c>
      <c r="B421" s="28"/>
      <c r="C421" s="28" t="s">
        <v>97</v>
      </c>
      <c r="D421" s="28"/>
      <c r="E421" s="28"/>
      <c r="F421" s="28" t="s">
        <v>61</v>
      </c>
      <c r="G421" s="28"/>
      <c r="H421" s="28" t="str">
        <f>IF(ISNUMBER(Table810[[#This Row],[Total Capacity]]),"USBR Enterprise Asset Registry",IF(Table810[[#This Row],[Total Capacity]]="",""))</f>
        <v/>
      </c>
      <c r="I421" s="28"/>
      <c r="J421" s="28"/>
      <c r="K421" s="28"/>
      <c r="L421" s="50" t="s">
        <v>98</v>
      </c>
      <c r="M421" s="48"/>
      <c r="N421" s="50" t="s">
        <v>98</v>
      </c>
      <c r="O421" s="28"/>
      <c r="P421" s="37"/>
      <c r="Q421" s="28" t="str">
        <f>IF(OR(Table810[[#This Row],[Post-Review Decision]]="Include", Table810[[#This Row],[Post-Review Decision]]="Include if possible", Table810[[#This Row],[Post-Review Decision]]="Include (Omit % Avg if needed)",  Table810[[#This Row],[Post-Review Decision]]="Include (Omit % Avg)"),Table810[[#This Row],[EAR Total Capacity]],"")</f>
        <v/>
      </c>
      <c r="R421" s="28"/>
      <c r="S421" s="45">
        <v>0</v>
      </c>
      <c r="T421" s="28"/>
      <c r="U421" s="28"/>
      <c r="V421" s="13" t="s">
        <v>1170</v>
      </c>
      <c r="W421" s="12" t="b">
        <f>ISNUMBER(Table810[[#This Row],[EAR Total Capacity]])</f>
        <v>0</v>
      </c>
      <c r="X421" s="12" t="b">
        <f>IF(Table810[[#This Row],[Has  Storage for Full Averaging Period?]]="OK",TRUE,FALSE)</f>
        <v>0</v>
      </c>
      <c r="Y421" s="12" t="b">
        <f>IFERROR(IF(YEAR(Table810[[#This Row],[RISE Storage End Date]])=2025,TRUE,FALSE),FALSE)</f>
        <v>0</v>
      </c>
      <c r="Z421" s="11" t="b">
        <v>0</v>
      </c>
      <c r="AA421" s="13">
        <v>413</v>
      </c>
      <c r="AB421" s="13" t="s">
        <v>76</v>
      </c>
      <c r="AC421" s="13" t="s">
        <v>1936</v>
      </c>
      <c r="AD421" s="13" t="s">
        <v>1935</v>
      </c>
      <c r="AE421" s="13" t="s">
        <v>101</v>
      </c>
      <c r="AF421" s="13" t="s">
        <v>1937</v>
      </c>
      <c r="AG421" s="13" t="s">
        <v>80</v>
      </c>
      <c r="AH421" s="13" t="s">
        <v>81</v>
      </c>
      <c r="AI421" s="13" t="s">
        <v>103</v>
      </c>
      <c r="AJ421" s="13"/>
      <c r="AK421" s="15"/>
      <c r="AL421" s="15"/>
      <c r="AM421" s="15" t="s">
        <v>61</v>
      </c>
      <c r="AN421" s="15" t="s">
        <v>61</v>
      </c>
      <c r="AO421" s="15" t="s">
        <v>61</v>
      </c>
      <c r="AP421" s="15" t="s">
        <v>61</v>
      </c>
      <c r="AQ421" s="22"/>
      <c r="AR421" s="25"/>
      <c r="AS421" s="25"/>
      <c r="AT421" s="25"/>
      <c r="AU421" s="25"/>
      <c r="AV421" s="25"/>
      <c r="AW421" s="25"/>
      <c r="AX421" s="24"/>
    </row>
    <row r="422" spans="1:50" ht="16.5" customHeight="1">
      <c r="A422" s="36" t="s">
        <v>1938</v>
      </c>
      <c r="B422" s="28"/>
      <c r="C422" s="28" t="s">
        <v>97</v>
      </c>
      <c r="D422" s="28"/>
      <c r="E422" s="28"/>
      <c r="F422" s="28">
        <v>490</v>
      </c>
      <c r="G422" s="28"/>
      <c r="H422" s="28" t="str">
        <f>IF(ISNUMBER(Table810[[#This Row],[Total Capacity]]),"USBR Enterprise Asset Registry",IF(Table810[[#This Row],[Total Capacity]]="",""))</f>
        <v/>
      </c>
      <c r="I422" s="28"/>
      <c r="J422" s="28"/>
      <c r="K422" s="28"/>
      <c r="L422" s="50" t="s">
        <v>98</v>
      </c>
      <c r="M422" s="48"/>
      <c r="N422" s="50" t="s">
        <v>98</v>
      </c>
      <c r="O422" s="28"/>
      <c r="P422" s="37"/>
      <c r="Q422" s="28" t="str">
        <f>IF(OR(Table810[[#This Row],[Post-Review Decision]]="Include", Table810[[#This Row],[Post-Review Decision]]="Include if possible", Table810[[#This Row],[Post-Review Decision]]="Include (Omit % Avg if needed)",  Table810[[#This Row],[Post-Review Decision]]="Include (Omit % Avg)"),Table810[[#This Row],[EAR Total Capacity]],"")</f>
        <v/>
      </c>
      <c r="R422" s="28"/>
      <c r="S422" s="45" t="s">
        <v>59</v>
      </c>
      <c r="T422" s="28"/>
      <c r="U422" s="28"/>
      <c r="V422" s="17" t="s">
        <v>61</v>
      </c>
      <c r="W422" s="12" t="b">
        <f>ISNUMBER(Table810[[#This Row],[EAR Total Capacity]])</f>
        <v>0</v>
      </c>
      <c r="X422" s="12" t="b">
        <f>IF(Table810[[#This Row],[Has  Storage for Full Averaging Period?]]="OK",TRUE,FALSE)</f>
        <v>0</v>
      </c>
      <c r="Y422" s="12" t="b">
        <f>IFERROR(IF(YEAR(Table810[[#This Row],[RISE Storage End Date]])=2025,TRUE,FALSE),FALSE)</f>
        <v>0</v>
      </c>
      <c r="Z422" s="11" t="b">
        <v>0</v>
      </c>
      <c r="AA422" s="16" t="s">
        <v>61</v>
      </c>
      <c r="AB422" s="17" t="s">
        <v>61</v>
      </c>
      <c r="AC422" s="17" t="s">
        <v>61</v>
      </c>
      <c r="AD422" s="17" t="s">
        <v>61</v>
      </c>
      <c r="AE422" s="17" t="s">
        <v>61</v>
      </c>
      <c r="AF422" s="17" t="s">
        <v>61</v>
      </c>
      <c r="AG422" s="17" t="s">
        <v>61</v>
      </c>
      <c r="AH422" s="17" t="s">
        <v>61</v>
      </c>
      <c r="AI422" s="17" t="s">
        <v>61</v>
      </c>
      <c r="AJ422" s="17" t="s">
        <v>61</v>
      </c>
      <c r="AK422" s="18"/>
      <c r="AL422" s="18"/>
      <c r="AM422" s="13" t="s">
        <v>1939</v>
      </c>
      <c r="AN422" s="11" t="s">
        <v>95</v>
      </c>
      <c r="AO422" s="11" t="s">
        <v>1938</v>
      </c>
      <c r="AP422" s="11" t="s">
        <v>275</v>
      </c>
      <c r="AQ422" s="21" t="s">
        <v>64</v>
      </c>
      <c r="AR422" s="26">
        <v>38573</v>
      </c>
      <c r="AS422" s="26">
        <v>43679</v>
      </c>
      <c r="AT422" s="25">
        <v>5107</v>
      </c>
      <c r="AU422" s="25" t="s">
        <v>66</v>
      </c>
      <c r="AV422" s="25" t="s">
        <v>66</v>
      </c>
      <c r="AW422" s="25" t="s">
        <v>66</v>
      </c>
      <c r="AX422" s="23"/>
    </row>
    <row r="423" spans="1:50" ht="16.5" customHeight="1">
      <c r="A423" s="36" t="s">
        <v>1940</v>
      </c>
      <c r="B423" s="28" t="s">
        <v>68</v>
      </c>
      <c r="C423" s="28" t="s">
        <v>52</v>
      </c>
      <c r="D423" s="28" t="s">
        <v>1941</v>
      </c>
      <c r="E423" s="28" t="s">
        <v>1942</v>
      </c>
      <c r="F423" s="28" t="s">
        <v>61</v>
      </c>
      <c r="G423" s="28" t="s">
        <v>55</v>
      </c>
      <c r="H423" s="28" t="str">
        <f>IF(ISNUMBER(Table810[[#This Row],[Total Capacity]]),"USBR Enterprise Asset Registry",IF(Table810[[#This Row],[Total Capacity]]="",""))</f>
        <v>USBR Enterprise Asset Registry</v>
      </c>
      <c r="I423" s="28" t="s">
        <v>71</v>
      </c>
      <c r="J423" s="28" t="s">
        <v>72</v>
      </c>
      <c r="K423" s="28"/>
      <c r="L423" s="50">
        <v>744000</v>
      </c>
      <c r="M423" s="48"/>
      <c r="N423" s="50">
        <v>744000</v>
      </c>
      <c r="O423" s="28" t="s">
        <v>1943</v>
      </c>
      <c r="P423" s="44" t="s">
        <v>1944</v>
      </c>
      <c r="Q423" s="28">
        <f>IF(OR(Table810[[#This Row],[Post-Review Decision]]="Include", Table810[[#This Row],[Post-Review Decision]]="Include if possible", Table810[[#This Row],[Post-Review Decision]]="Include (Omit % Avg if needed)",  Table810[[#This Row],[Post-Review Decision]]="Include (Omit % Avg)"),Table810[[#This Row],[EAR Total Capacity]],"")</f>
        <v>744000</v>
      </c>
      <c r="R423" s="28">
        <v>744000</v>
      </c>
      <c r="S423" s="46">
        <v>744000</v>
      </c>
      <c r="T423" s="28" t="s">
        <v>1945</v>
      </c>
      <c r="U423" s="28" t="s">
        <v>1946</v>
      </c>
      <c r="V423" s="13" t="s">
        <v>438</v>
      </c>
      <c r="W423" s="12" t="b">
        <f>ISNUMBER(Table810[[#This Row],[EAR Total Capacity]])</f>
        <v>1</v>
      </c>
      <c r="X423" s="12" t="b">
        <f>IF(Table810[[#This Row],[Has  Storage for Full Averaging Period?]]="OK",TRUE,FALSE)</f>
        <v>0</v>
      </c>
      <c r="Y423" s="12" t="b">
        <f>IFERROR(IF(YEAR(Table810[[#This Row],[RISE Storage End Date]])=2025,TRUE,FALSE),FALSE)</f>
        <v>0</v>
      </c>
      <c r="Z423" s="11" t="b">
        <v>0</v>
      </c>
      <c r="AA423" s="13">
        <v>231</v>
      </c>
      <c r="AB423" s="13" t="s">
        <v>76</v>
      </c>
      <c r="AC423" s="13" t="s">
        <v>1947</v>
      </c>
      <c r="AD423" s="13" t="s">
        <v>1940</v>
      </c>
      <c r="AE423" s="13" t="s">
        <v>78</v>
      </c>
      <c r="AF423" s="13" t="s">
        <v>1948</v>
      </c>
      <c r="AG423" s="13" t="s">
        <v>159</v>
      </c>
      <c r="AH423" s="13" t="s">
        <v>160</v>
      </c>
      <c r="AI423" s="13" t="s">
        <v>93</v>
      </c>
      <c r="AJ423" s="14">
        <v>744000</v>
      </c>
      <c r="AK423" s="15">
        <v>-120.14400000000001</v>
      </c>
      <c r="AL423" s="15">
        <v>39.167099999999998</v>
      </c>
      <c r="AM423" s="15" t="s">
        <v>61</v>
      </c>
      <c r="AN423" s="15" t="s">
        <v>61</v>
      </c>
      <c r="AO423" s="15" t="s">
        <v>61</v>
      </c>
      <c r="AP423" s="15" t="s">
        <v>61</v>
      </c>
      <c r="AQ423" s="21" t="s">
        <v>136</v>
      </c>
      <c r="AR423" s="25"/>
      <c r="AS423" s="25"/>
      <c r="AT423" s="25"/>
      <c r="AU423" s="25"/>
      <c r="AV423" s="25"/>
      <c r="AW423" s="25"/>
      <c r="AX423" s="24"/>
    </row>
    <row r="424" spans="1:50" ht="16.5" customHeight="1">
      <c r="A424" s="36" t="s">
        <v>1949</v>
      </c>
      <c r="B424" s="28" t="s">
        <v>68</v>
      </c>
      <c r="C424" s="28" t="s">
        <v>86</v>
      </c>
      <c r="D424" s="28"/>
      <c r="E424" s="28" t="s">
        <v>70</v>
      </c>
      <c r="F424" s="28">
        <v>491</v>
      </c>
      <c r="G424" s="28">
        <v>3</v>
      </c>
      <c r="H424" s="28" t="str">
        <f>IF(ISNUMBER(Table810[[#This Row],[Total Capacity]]),"USBR Enterprise Asset Registry",IF(Table810[[#This Row],[Total Capacity]]="",""))</f>
        <v>USBR Enterprise Asset Registry</v>
      </c>
      <c r="I424" s="28" t="s">
        <v>57</v>
      </c>
      <c r="J424" s="28" t="s">
        <v>72</v>
      </c>
      <c r="K424" s="28"/>
      <c r="L424" s="50">
        <v>106225</v>
      </c>
      <c r="M424" s="48"/>
      <c r="N424" s="50">
        <v>106225</v>
      </c>
      <c r="O424" s="28"/>
      <c r="P424" s="37"/>
      <c r="Q424" s="28">
        <f>IF(OR(Table810[[#This Row],[Post-Review Decision]]="Include", Table810[[#This Row],[Post-Review Decision]]="Include if possible", Table810[[#This Row],[Post-Review Decision]]="Include (Omit % Avg if needed)",  Table810[[#This Row],[Post-Review Decision]]="Include (Omit % Avg)"),Table810[[#This Row],[EAR Total Capacity]],"")</f>
        <v>106225</v>
      </c>
      <c r="R424" s="28">
        <v>106210</v>
      </c>
      <c r="S424" s="46">
        <v>106210</v>
      </c>
      <c r="T424" s="28" t="s">
        <v>1949</v>
      </c>
      <c r="U424" s="28" t="s">
        <v>1950</v>
      </c>
      <c r="V424" s="13" t="s">
        <v>530</v>
      </c>
      <c r="W424" s="12" t="b">
        <f>ISNUMBER(Table810[[#This Row],[EAR Total Capacity]])</f>
        <v>1</v>
      </c>
      <c r="X424" s="12" t="b">
        <f>IF(Table810[[#This Row],[Has  Storage for Full Averaging Period?]]="OK",TRUE,FALSE)</f>
        <v>1</v>
      </c>
      <c r="Y424" s="12" t="b">
        <f>IFERROR(IF(YEAR(Table810[[#This Row],[RISE Storage End Date]])=2025,TRUE,FALSE),FALSE)</f>
        <v>1</v>
      </c>
      <c r="Z424" s="11" t="b">
        <v>0</v>
      </c>
      <c r="AA424" s="13">
        <v>414</v>
      </c>
      <c r="AB424" s="13" t="s">
        <v>76</v>
      </c>
      <c r="AC424" s="13" t="s">
        <v>1951</v>
      </c>
      <c r="AD424" s="13" t="s">
        <v>1949</v>
      </c>
      <c r="AE424" s="13" t="s">
        <v>78</v>
      </c>
      <c r="AF424" s="13" t="s">
        <v>1952</v>
      </c>
      <c r="AG424" s="13" t="s">
        <v>91</v>
      </c>
      <c r="AH424" s="13" t="s">
        <v>102</v>
      </c>
      <c r="AI424" s="13" t="s">
        <v>93</v>
      </c>
      <c r="AJ424" s="13">
        <v>106225</v>
      </c>
      <c r="AK424" s="18"/>
      <c r="AL424" s="18"/>
      <c r="AM424" s="13" t="s">
        <v>1953</v>
      </c>
      <c r="AN424" s="13" t="s">
        <v>63</v>
      </c>
      <c r="AO424" s="13" t="s">
        <v>1949</v>
      </c>
      <c r="AP424" s="13" t="s">
        <v>1949</v>
      </c>
      <c r="AQ424" s="21" t="s">
        <v>64</v>
      </c>
      <c r="AR424" s="26">
        <v>21459</v>
      </c>
      <c r="AS424" s="26">
        <v>46007</v>
      </c>
      <c r="AT424" s="25">
        <v>24550</v>
      </c>
      <c r="AU424" s="25" t="s">
        <v>65</v>
      </c>
      <c r="AV424" s="25" t="s">
        <v>65</v>
      </c>
      <c r="AW424" s="25" t="s">
        <v>65</v>
      </c>
      <c r="AX424" s="24"/>
    </row>
    <row r="425" spans="1:50" ht="16.5" customHeight="1">
      <c r="A425" s="36" t="s">
        <v>1954</v>
      </c>
      <c r="B425" s="28"/>
      <c r="C425" s="28" t="s">
        <v>97</v>
      </c>
      <c r="D425" s="28"/>
      <c r="E425" s="28"/>
      <c r="F425" s="28" t="s">
        <v>61</v>
      </c>
      <c r="G425" s="28"/>
      <c r="H425" s="28" t="str">
        <f>IF(ISNUMBER(Table810[[#This Row],[Total Capacity]]),"USBR Enterprise Asset Registry",IF(Table810[[#This Row],[Total Capacity]]="",""))</f>
        <v/>
      </c>
      <c r="I425" s="28"/>
      <c r="J425" s="28"/>
      <c r="K425" s="28"/>
      <c r="L425" s="50" t="s">
        <v>98</v>
      </c>
      <c r="M425" s="48"/>
      <c r="N425" s="50" t="s">
        <v>98</v>
      </c>
      <c r="O425" s="28"/>
      <c r="P425" s="37"/>
      <c r="Q425" s="28" t="str">
        <f>IF(OR(Table810[[#This Row],[Post-Review Decision]]="Include", Table810[[#This Row],[Post-Review Decision]]="Include if possible", Table810[[#This Row],[Post-Review Decision]]="Include (Omit % Avg if needed)",  Table810[[#This Row],[Post-Review Decision]]="Include (Omit % Avg)"),Table810[[#This Row],[EAR Total Capacity]],"")</f>
        <v/>
      </c>
      <c r="R425" s="28">
        <v>119</v>
      </c>
      <c r="S425" s="45">
        <v>119</v>
      </c>
      <c r="T425" s="28"/>
      <c r="U425" s="28"/>
      <c r="V425" s="13" t="s">
        <v>242</v>
      </c>
      <c r="W425" s="12" t="b">
        <f>ISNUMBER(Table810[[#This Row],[EAR Total Capacity]])</f>
        <v>1</v>
      </c>
      <c r="X425" s="12" t="b">
        <f>IF(Table810[[#This Row],[Has  Storage for Full Averaging Period?]]="OK",TRUE,FALSE)</f>
        <v>0</v>
      </c>
      <c r="Y425" s="12" t="b">
        <f>IFERROR(IF(YEAR(Table810[[#This Row],[RISE Storage End Date]])=2025,TRUE,FALSE),FALSE)</f>
        <v>0</v>
      </c>
      <c r="Z425" s="11" t="b">
        <v>0</v>
      </c>
      <c r="AA425" s="13">
        <v>415</v>
      </c>
      <c r="AB425" s="13" t="s">
        <v>76</v>
      </c>
      <c r="AC425" s="13" t="s">
        <v>1955</v>
      </c>
      <c r="AD425" s="13" t="s">
        <v>1954</v>
      </c>
      <c r="AE425" s="13" t="s">
        <v>78</v>
      </c>
      <c r="AF425" s="13" t="s">
        <v>1956</v>
      </c>
      <c r="AG425" s="13" t="s">
        <v>159</v>
      </c>
      <c r="AH425" s="13" t="s">
        <v>160</v>
      </c>
      <c r="AI425" s="13" t="s">
        <v>110</v>
      </c>
      <c r="AJ425" s="13">
        <v>119</v>
      </c>
      <c r="AK425" s="15"/>
      <c r="AL425" s="15"/>
      <c r="AM425" s="15" t="s">
        <v>61</v>
      </c>
      <c r="AN425" s="15" t="s">
        <v>61</v>
      </c>
      <c r="AO425" s="15" t="s">
        <v>61</v>
      </c>
      <c r="AP425" s="15" t="s">
        <v>61</v>
      </c>
      <c r="AQ425" s="21" t="s">
        <v>136</v>
      </c>
      <c r="AR425" s="25"/>
      <c r="AS425" s="25"/>
      <c r="AT425" s="25"/>
      <c r="AU425" s="25"/>
      <c r="AV425" s="25"/>
      <c r="AW425" s="25"/>
      <c r="AX425" s="24"/>
    </row>
    <row r="426" spans="1:50" ht="16.5" customHeight="1">
      <c r="A426" s="36" t="s">
        <v>1957</v>
      </c>
      <c r="B426" s="28"/>
      <c r="C426" s="28" t="s">
        <v>97</v>
      </c>
      <c r="D426" s="28"/>
      <c r="E426" s="28"/>
      <c r="F426" s="28">
        <v>3660</v>
      </c>
      <c r="G426" s="28"/>
      <c r="H426" s="28" t="str">
        <f>IF(ISNUMBER(Table810[[#This Row],[Total Capacity]]),"USBR Enterprise Asset Registry",IF(Table810[[#This Row],[Total Capacity]]="",""))</f>
        <v/>
      </c>
      <c r="I426" s="28"/>
      <c r="J426" s="28"/>
      <c r="K426" s="28"/>
      <c r="L426" s="50" t="s">
        <v>98</v>
      </c>
      <c r="M426" s="48"/>
      <c r="N426" s="50" t="s">
        <v>98</v>
      </c>
      <c r="O426" s="28"/>
      <c r="P426" s="37"/>
      <c r="Q426" s="28" t="str">
        <f>IF(OR(Table810[[#This Row],[Post-Review Decision]]="Include", Table810[[#This Row],[Post-Review Decision]]="Include if possible", Table810[[#This Row],[Post-Review Decision]]="Include (Omit % Avg if needed)",  Table810[[#This Row],[Post-Review Decision]]="Include (Omit % Avg)"),Table810[[#This Row],[EAR Total Capacity]],"")</f>
        <v/>
      </c>
      <c r="R426" s="28"/>
      <c r="S426" s="45" t="s">
        <v>59</v>
      </c>
      <c r="T426" s="28"/>
      <c r="U426" s="28"/>
      <c r="V426" s="17" t="s">
        <v>61</v>
      </c>
      <c r="W426" s="12" t="b">
        <f>ISNUMBER(Table810[[#This Row],[EAR Total Capacity]])</f>
        <v>0</v>
      </c>
      <c r="X426" s="12" t="b">
        <f>IF(Table810[[#This Row],[Has  Storage for Full Averaging Period?]]="OK",TRUE,FALSE)</f>
        <v>0</v>
      </c>
      <c r="Y426" s="12" t="b">
        <f>IFERROR(IF(YEAR(Table810[[#This Row],[RISE Storage End Date]])=2025,TRUE,FALSE),FALSE)</f>
        <v>0</v>
      </c>
      <c r="Z426" s="11" t="b">
        <v>0</v>
      </c>
      <c r="AA426" s="16" t="s">
        <v>61</v>
      </c>
      <c r="AB426" s="17" t="s">
        <v>61</v>
      </c>
      <c r="AC426" s="17" t="s">
        <v>61</v>
      </c>
      <c r="AD426" s="17" t="s">
        <v>61</v>
      </c>
      <c r="AE426" s="17" t="s">
        <v>61</v>
      </c>
      <c r="AF426" s="17" t="s">
        <v>61</v>
      </c>
      <c r="AG426" s="17" t="s">
        <v>61</v>
      </c>
      <c r="AH426" s="17" t="s">
        <v>61</v>
      </c>
      <c r="AI426" s="17" t="s">
        <v>61</v>
      </c>
      <c r="AJ426" s="17" t="s">
        <v>61</v>
      </c>
      <c r="AK426" s="18"/>
      <c r="AL426" s="18"/>
      <c r="AM426" s="13" t="s">
        <v>1958</v>
      </c>
      <c r="AN426" s="11" t="s">
        <v>135</v>
      </c>
      <c r="AO426" s="11" t="s">
        <v>1957</v>
      </c>
      <c r="AP426" s="11" t="s">
        <v>1959</v>
      </c>
      <c r="AQ426" s="21" t="s">
        <v>136</v>
      </c>
      <c r="AR426" s="25"/>
      <c r="AS426" s="25"/>
      <c r="AT426" s="25"/>
      <c r="AU426" s="25"/>
      <c r="AV426" s="25"/>
      <c r="AW426" s="25"/>
      <c r="AX426" s="23"/>
    </row>
    <row r="427" spans="1:50" ht="16.5" customHeight="1">
      <c r="A427" s="36" t="s">
        <v>1960</v>
      </c>
      <c r="B427" s="28"/>
      <c r="C427" s="28" t="s">
        <v>97</v>
      </c>
      <c r="D427" s="28"/>
      <c r="E427" s="28"/>
      <c r="F427" s="28">
        <v>3713</v>
      </c>
      <c r="G427" s="28"/>
      <c r="H427" s="28" t="str">
        <f>IF(ISNUMBER(Table810[[#This Row],[Total Capacity]]),"USBR Enterprise Asset Registry",IF(Table810[[#This Row],[Total Capacity]]="",""))</f>
        <v/>
      </c>
      <c r="I427" s="28"/>
      <c r="J427" s="28"/>
      <c r="K427" s="28"/>
      <c r="L427" s="50" t="s">
        <v>98</v>
      </c>
      <c r="M427" s="48"/>
      <c r="N427" s="50" t="s">
        <v>98</v>
      </c>
      <c r="O427" s="28"/>
      <c r="P427" s="37"/>
      <c r="Q427" s="28" t="str">
        <f>IF(OR(Table810[[#This Row],[Post-Review Decision]]="Include", Table810[[#This Row],[Post-Review Decision]]="Include if possible", Table810[[#This Row],[Post-Review Decision]]="Include (Omit % Avg if needed)",  Table810[[#This Row],[Post-Review Decision]]="Include (Omit % Avg)"),Table810[[#This Row],[EAR Total Capacity]],"")</f>
        <v/>
      </c>
      <c r="R427" s="28">
        <v>2173968</v>
      </c>
      <c r="S427" s="46">
        <v>2173968</v>
      </c>
      <c r="T427" s="28"/>
      <c r="U427" s="28"/>
      <c r="V427" s="13" t="s">
        <v>176</v>
      </c>
      <c r="W427" s="12" t="b">
        <f>ISNUMBER(Table810[[#This Row],[EAR Total Capacity]])</f>
        <v>1</v>
      </c>
      <c r="X427" s="12" t="b">
        <f>IF(Table810[[#This Row],[Has  Storage for Full Averaging Period?]]="OK",TRUE,FALSE)</f>
        <v>0</v>
      </c>
      <c r="Y427" s="12" t="b">
        <f>IFERROR(IF(YEAR(Table810[[#This Row],[RISE Storage End Date]])=2025,TRUE,FALSE),FALSE)</f>
        <v>0</v>
      </c>
      <c r="Z427" s="11" t="b">
        <v>0</v>
      </c>
      <c r="AA427" s="13">
        <v>416</v>
      </c>
      <c r="AB427" s="13" t="s">
        <v>76</v>
      </c>
      <c r="AC427" s="13" t="s">
        <v>1961</v>
      </c>
      <c r="AD427" s="13" t="s">
        <v>1960</v>
      </c>
      <c r="AE427" s="13" t="s">
        <v>78</v>
      </c>
      <c r="AF427" s="13" t="s">
        <v>1962</v>
      </c>
      <c r="AG427" s="13" t="s">
        <v>179</v>
      </c>
      <c r="AH427" s="13" t="s">
        <v>180</v>
      </c>
      <c r="AI427" s="13" t="s">
        <v>93</v>
      </c>
      <c r="AJ427" s="13">
        <v>2190994</v>
      </c>
      <c r="AK427" s="18"/>
      <c r="AL427" s="18"/>
      <c r="AM427" s="13" t="s">
        <v>1963</v>
      </c>
      <c r="AN427" s="13" t="s">
        <v>183</v>
      </c>
      <c r="AO427" s="11" t="s">
        <v>1960</v>
      </c>
      <c r="AP427" s="11" t="s">
        <v>1960</v>
      </c>
      <c r="AQ427" s="21" t="s">
        <v>136</v>
      </c>
      <c r="AR427" s="25"/>
      <c r="AS427" s="25"/>
      <c r="AT427" s="25"/>
      <c r="AU427" s="25"/>
      <c r="AV427" s="25"/>
      <c r="AW427" s="25"/>
      <c r="AX427" s="24"/>
    </row>
    <row r="428" spans="1:50" ht="16.5" customHeight="1">
      <c r="A428" s="36" t="s">
        <v>1964</v>
      </c>
      <c r="B428" s="28" t="s">
        <v>68</v>
      </c>
      <c r="C428" s="28" t="s">
        <v>69</v>
      </c>
      <c r="D428" s="28"/>
      <c r="E428" s="28" t="s">
        <v>70</v>
      </c>
      <c r="F428" s="28">
        <v>3668</v>
      </c>
      <c r="G428" s="28">
        <v>3</v>
      </c>
      <c r="H428" s="28" t="str">
        <f>IF(ISNUMBER(Table810[[#This Row],[Total Capacity]]),"USBR Enterprise Asset Registry",IF(Table810[[#This Row],[Total Capacity]]="",""))</f>
        <v>USBR Enterprise Asset Registry</v>
      </c>
      <c r="I428" s="28" t="s">
        <v>71</v>
      </c>
      <c r="J428" s="28" t="s">
        <v>72</v>
      </c>
      <c r="K428" s="28"/>
      <c r="L428" s="50">
        <v>13307</v>
      </c>
      <c r="M428" s="48"/>
      <c r="N428" s="50">
        <v>13307</v>
      </c>
      <c r="O428" s="28"/>
      <c r="P428" s="37"/>
      <c r="Q428" s="28">
        <f>IF(OR(Table810[[#This Row],[Post-Review Decision]]="Include", Table810[[#This Row],[Post-Review Decision]]="Include if possible", Table810[[#This Row],[Post-Review Decision]]="Include (Omit % Avg if needed)",  Table810[[#This Row],[Post-Review Decision]]="Include (Omit % Avg)"),Table810[[#This Row],[EAR Total Capacity]],"")</f>
        <v>13307</v>
      </c>
      <c r="R428" s="28">
        <v>13307</v>
      </c>
      <c r="S428" s="46">
        <v>13137</v>
      </c>
      <c r="T428" s="28" t="s">
        <v>1964</v>
      </c>
      <c r="U428" s="28" t="s">
        <v>1965</v>
      </c>
      <c r="V428" s="13" t="s">
        <v>1966</v>
      </c>
      <c r="W428" s="12" t="b">
        <f>ISNUMBER(Table810[[#This Row],[EAR Total Capacity]])</f>
        <v>1</v>
      </c>
      <c r="X428" s="12" t="s">
        <v>75</v>
      </c>
      <c r="Y428" s="12" t="b">
        <f>IFERROR(IF(YEAR(Table810[[#This Row],[RISE Storage End Date]])=2025,TRUE,FALSE),FALSE)</f>
        <v>0</v>
      </c>
      <c r="Z428" s="11" t="b">
        <v>0</v>
      </c>
      <c r="AA428" s="13">
        <v>417</v>
      </c>
      <c r="AB428" s="13" t="s">
        <v>76</v>
      </c>
      <c r="AC428" s="13" t="s">
        <v>1967</v>
      </c>
      <c r="AD428" s="13" t="s">
        <v>1964</v>
      </c>
      <c r="AE428" s="13" t="s">
        <v>78</v>
      </c>
      <c r="AF428" s="13" t="s">
        <v>1968</v>
      </c>
      <c r="AG428" s="13" t="s">
        <v>80</v>
      </c>
      <c r="AH428" s="13" t="s">
        <v>81</v>
      </c>
      <c r="AI428" s="13" t="s">
        <v>93</v>
      </c>
      <c r="AJ428" s="19">
        <v>13307</v>
      </c>
      <c r="AK428" s="18"/>
      <c r="AL428" s="18"/>
      <c r="AM428" s="13" t="s">
        <v>1969</v>
      </c>
      <c r="AN428" s="13" t="s">
        <v>84</v>
      </c>
      <c r="AO428" s="13" t="s">
        <v>1964</v>
      </c>
      <c r="AP428" s="13" t="s">
        <v>1964</v>
      </c>
      <c r="AQ428" s="21" t="s">
        <v>64</v>
      </c>
      <c r="AR428" s="25"/>
      <c r="AS428" s="25"/>
      <c r="AT428" s="25"/>
      <c r="AU428" s="25"/>
      <c r="AV428" s="25"/>
      <c r="AW428" s="25"/>
      <c r="AX428" s="24"/>
    </row>
    <row r="429" spans="1:50" ht="16.5" customHeight="1">
      <c r="A429" s="36" t="s">
        <v>1970</v>
      </c>
      <c r="B429" s="28"/>
      <c r="C429" s="28" t="s">
        <v>97</v>
      </c>
      <c r="D429" s="28"/>
      <c r="E429" s="28"/>
      <c r="F429" s="28" t="s">
        <v>61</v>
      </c>
      <c r="G429" s="28"/>
      <c r="H429" s="28" t="str">
        <f>IF(ISNUMBER(Table810[[#This Row],[Total Capacity]]),"USBR Enterprise Asset Registry",IF(Table810[[#This Row],[Total Capacity]]="",""))</f>
        <v/>
      </c>
      <c r="I429" s="28"/>
      <c r="J429" s="28"/>
      <c r="K429" s="28"/>
      <c r="L429" s="50" t="s">
        <v>98</v>
      </c>
      <c r="M429" s="48"/>
      <c r="N429" s="50" t="s">
        <v>98</v>
      </c>
      <c r="O429" s="28"/>
      <c r="P429" s="37"/>
      <c r="Q429" s="28" t="str">
        <f>IF(OR(Table810[[#This Row],[Post-Review Decision]]="Include", Table810[[#This Row],[Post-Review Decision]]="Include if possible", Table810[[#This Row],[Post-Review Decision]]="Include (Omit % Avg if needed)",  Table810[[#This Row],[Post-Review Decision]]="Include (Omit % Avg)"),Table810[[#This Row],[EAR Total Capacity]],"")</f>
        <v/>
      </c>
      <c r="R429" s="28"/>
      <c r="S429" s="45">
        <v>0</v>
      </c>
      <c r="T429" s="28"/>
      <c r="U429" s="28"/>
      <c r="V429" s="13" t="s">
        <v>543</v>
      </c>
      <c r="W429" s="12" t="b">
        <f>ISNUMBER(Table810[[#This Row],[EAR Total Capacity]])</f>
        <v>0</v>
      </c>
      <c r="X429" s="12" t="b">
        <f>IF(Table810[[#This Row],[Has  Storage for Full Averaging Period?]]="OK",TRUE,FALSE)</f>
        <v>0</v>
      </c>
      <c r="Y429" s="12" t="b">
        <f>IFERROR(IF(YEAR(Table810[[#This Row],[RISE Storage End Date]])=2025,TRUE,FALSE),FALSE)</f>
        <v>0</v>
      </c>
      <c r="Z429" s="11" t="b">
        <v>0</v>
      </c>
      <c r="AA429" s="13">
        <v>418</v>
      </c>
      <c r="AB429" s="13" t="s">
        <v>76</v>
      </c>
      <c r="AC429" s="13" t="s">
        <v>1971</v>
      </c>
      <c r="AD429" s="13" t="s">
        <v>1970</v>
      </c>
      <c r="AE429" s="13" t="s">
        <v>78</v>
      </c>
      <c r="AF429" s="13" t="s">
        <v>1972</v>
      </c>
      <c r="AG429" s="13" t="s">
        <v>80</v>
      </c>
      <c r="AH429" s="13" t="s">
        <v>81</v>
      </c>
      <c r="AI429" s="13" t="s">
        <v>103</v>
      </c>
      <c r="AJ429" s="13"/>
      <c r="AK429" s="15"/>
      <c r="AL429" s="15"/>
      <c r="AM429" s="15" t="s">
        <v>61</v>
      </c>
      <c r="AN429" s="15" t="s">
        <v>61</v>
      </c>
      <c r="AO429" s="15" t="s">
        <v>61</v>
      </c>
      <c r="AP429" s="15" t="s">
        <v>61</v>
      </c>
      <c r="AQ429" s="21" t="s">
        <v>136</v>
      </c>
      <c r="AR429" s="25"/>
      <c r="AS429" s="25"/>
      <c r="AT429" s="25"/>
      <c r="AU429" s="25"/>
      <c r="AV429" s="25"/>
      <c r="AW429" s="25"/>
      <c r="AX429" s="24"/>
    </row>
    <row r="430" spans="1:50" ht="16.5" customHeight="1">
      <c r="A430" s="36" t="s">
        <v>1973</v>
      </c>
      <c r="B430" s="28" t="s">
        <v>68</v>
      </c>
      <c r="C430" s="28" t="s">
        <v>52</v>
      </c>
      <c r="D430" s="28" t="s">
        <v>125</v>
      </c>
      <c r="E430" s="28" t="s">
        <v>126</v>
      </c>
      <c r="F430" s="28">
        <v>3674</v>
      </c>
      <c r="G430" s="28">
        <v>3</v>
      </c>
      <c r="H430" s="28" t="str">
        <f>IF(ISNUMBER(Table810[[#This Row],[Total Capacity]]),"USBR Enterprise Asset Registry",IF(Table810[[#This Row],[Total Capacity]]="",""))</f>
        <v>USBR Enterprise Asset Registry</v>
      </c>
      <c r="I430" s="28" t="s">
        <v>57</v>
      </c>
      <c r="J430" s="28" t="s">
        <v>127</v>
      </c>
      <c r="K430" s="33">
        <v>68878</v>
      </c>
      <c r="L430" s="50">
        <v>103840</v>
      </c>
      <c r="M430" s="48"/>
      <c r="N430" s="50">
        <v>103840</v>
      </c>
      <c r="O430" s="28"/>
      <c r="P430" s="37" t="s">
        <v>1974</v>
      </c>
      <c r="Q430" s="28">
        <f>IF(OR(Table810[[#This Row],[Post-Review Decision]]="Include", Table810[[#This Row],[Post-Review Decision]]="Include if possible", Table810[[#This Row],[Post-Review Decision]]="Include (Omit % Avg if needed)",  Table810[[#This Row],[Post-Review Decision]]="Include (Omit % Avg)"),Table810[[#This Row],[EAR Total Capacity]],"")</f>
        <v>172718</v>
      </c>
      <c r="R430" s="28">
        <v>161612</v>
      </c>
      <c r="S430" s="46">
        <v>171848</v>
      </c>
      <c r="T430" s="28" t="s">
        <v>1975</v>
      </c>
      <c r="U430" s="28" t="s">
        <v>1976</v>
      </c>
      <c r="V430" s="13" t="s">
        <v>353</v>
      </c>
      <c r="W430" s="12" t="b">
        <f>ISNUMBER(Table810[[#This Row],[EAR Total Capacity]])</f>
        <v>1</v>
      </c>
      <c r="X430" s="12" t="b">
        <f>IF(Table810[[#This Row],[Has  Storage for Full Averaging Period?]]="OK",TRUE,FALSE)</f>
        <v>0</v>
      </c>
      <c r="Y430" s="12" t="b">
        <f>IFERROR(IF(YEAR(Table810[[#This Row],[RISE Storage End Date]])=2025,TRUE,FALSE),FALSE)</f>
        <v>0</v>
      </c>
      <c r="Z430" s="11" t="b">
        <v>0</v>
      </c>
      <c r="AA430" s="13">
        <v>232</v>
      </c>
      <c r="AB430" s="13" t="s">
        <v>76</v>
      </c>
      <c r="AC430" s="13" t="s">
        <v>1977</v>
      </c>
      <c r="AD430" s="13" t="s">
        <v>1973</v>
      </c>
      <c r="AE430" s="13" t="s">
        <v>78</v>
      </c>
      <c r="AF430" s="13" t="s">
        <v>1978</v>
      </c>
      <c r="AG430" s="13" t="s">
        <v>133</v>
      </c>
      <c r="AH430" s="13" t="s">
        <v>92</v>
      </c>
      <c r="AI430" s="13" t="s">
        <v>93</v>
      </c>
      <c r="AJ430" s="14">
        <v>172718</v>
      </c>
      <c r="AK430" s="18"/>
      <c r="AL430" s="18"/>
      <c r="AM430" s="13" t="s">
        <v>1979</v>
      </c>
      <c r="AN430" s="13" t="s">
        <v>95</v>
      </c>
      <c r="AO430" s="11" t="s">
        <v>1973</v>
      </c>
      <c r="AP430" s="11" t="s">
        <v>1980</v>
      </c>
      <c r="AQ430" s="21" t="s">
        <v>136</v>
      </c>
      <c r="AR430" s="25"/>
      <c r="AS430" s="25"/>
      <c r="AT430" s="25"/>
      <c r="AU430" s="25"/>
      <c r="AV430" s="25"/>
      <c r="AW430" s="25"/>
      <c r="AX430" s="24"/>
    </row>
    <row r="431" spans="1:50" ht="16.5" customHeight="1">
      <c r="A431" s="36" t="s">
        <v>1981</v>
      </c>
      <c r="B431" s="28"/>
      <c r="C431" s="28" t="s">
        <v>97</v>
      </c>
      <c r="D431" s="28"/>
      <c r="E431" s="28"/>
      <c r="F431" s="28" t="s">
        <v>61</v>
      </c>
      <c r="G431" s="28"/>
      <c r="H431" s="28" t="str">
        <f>IF(ISNUMBER(Table810[[#This Row],[Total Capacity]]),"USBR Enterprise Asset Registry",IF(Table810[[#This Row],[Total Capacity]]="",""))</f>
        <v/>
      </c>
      <c r="I431" s="28"/>
      <c r="J431" s="28"/>
      <c r="K431" s="28"/>
      <c r="L431" s="50" t="s">
        <v>98</v>
      </c>
      <c r="M431" s="48"/>
      <c r="N431" s="50" t="s">
        <v>98</v>
      </c>
      <c r="O431" s="28"/>
      <c r="P431" s="37"/>
      <c r="Q431" s="28" t="str">
        <f>IF(OR(Table810[[#This Row],[Post-Review Decision]]="Include", Table810[[#This Row],[Post-Review Decision]]="Include if possible", Table810[[#This Row],[Post-Review Decision]]="Include (Omit % Avg if needed)",  Table810[[#This Row],[Post-Review Decision]]="Include (Omit % Avg)"),Table810[[#This Row],[EAR Total Capacity]],"")</f>
        <v/>
      </c>
      <c r="R431" s="28"/>
      <c r="S431" s="45">
        <v>0</v>
      </c>
      <c r="T431" s="28"/>
      <c r="U431" s="28"/>
      <c r="V431" s="13" t="s">
        <v>385</v>
      </c>
      <c r="W431" s="12" t="b">
        <f>ISNUMBER(Table810[[#This Row],[EAR Total Capacity]])</f>
        <v>0</v>
      </c>
      <c r="X431" s="12" t="b">
        <f>IF(Table810[[#This Row],[Has  Storage for Full Averaging Period?]]="OK",TRUE,FALSE)</f>
        <v>0</v>
      </c>
      <c r="Y431" s="12" t="b">
        <f>IFERROR(IF(YEAR(Table810[[#This Row],[RISE Storage End Date]])=2025,TRUE,FALSE),FALSE)</f>
        <v>0</v>
      </c>
      <c r="Z431" s="11" t="b">
        <v>0</v>
      </c>
      <c r="AA431" s="13">
        <v>419</v>
      </c>
      <c r="AB431" s="13" t="s">
        <v>76</v>
      </c>
      <c r="AC431" s="13" t="s">
        <v>1982</v>
      </c>
      <c r="AD431" s="13" t="s">
        <v>1981</v>
      </c>
      <c r="AE431" s="13" t="s">
        <v>101</v>
      </c>
      <c r="AF431" s="13" t="s">
        <v>1983</v>
      </c>
      <c r="AG431" s="13" t="s">
        <v>80</v>
      </c>
      <c r="AH431" s="13" t="s">
        <v>81</v>
      </c>
      <c r="AI431" s="13" t="s">
        <v>103</v>
      </c>
      <c r="AJ431" s="13"/>
      <c r="AK431" s="15"/>
      <c r="AL431" s="15"/>
      <c r="AM431" s="15" t="s">
        <v>61</v>
      </c>
      <c r="AN431" s="15" t="s">
        <v>61</v>
      </c>
      <c r="AO431" s="15" t="s">
        <v>61</v>
      </c>
      <c r="AP431" s="15" t="s">
        <v>61</v>
      </c>
      <c r="AQ431" s="22"/>
      <c r="AR431" s="25"/>
      <c r="AS431" s="25"/>
      <c r="AT431" s="25"/>
      <c r="AU431" s="25"/>
      <c r="AV431" s="25"/>
      <c r="AW431" s="25"/>
      <c r="AX431" s="24"/>
    </row>
    <row r="432" spans="1:50" ht="16.5" customHeight="1">
      <c r="A432" s="36" t="s">
        <v>1984</v>
      </c>
      <c r="B432" s="28"/>
      <c r="C432" s="28" t="s">
        <v>97</v>
      </c>
      <c r="D432" s="28"/>
      <c r="E432" s="28"/>
      <c r="F432" s="28" t="s">
        <v>61</v>
      </c>
      <c r="G432" s="28"/>
      <c r="H432" s="28" t="str">
        <f>IF(ISNUMBER(Table810[[#This Row],[Total Capacity]]),"USBR Enterprise Asset Registry",IF(Table810[[#This Row],[Total Capacity]]="",""))</f>
        <v/>
      </c>
      <c r="I432" s="28"/>
      <c r="J432" s="28"/>
      <c r="K432" s="28"/>
      <c r="L432" s="50" t="s">
        <v>98</v>
      </c>
      <c r="M432" s="48"/>
      <c r="N432" s="50" t="s">
        <v>98</v>
      </c>
      <c r="O432" s="28"/>
      <c r="P432" s="37"/>
      <c r="Q432" s="28" t="str">
        <f>IF(OR(Table810[[#This Row],[Post-Review Decision]]="Include", Table810[[#This Row],[Post-Review Decision]]="Include if possible", Table810[[#This Row],[Post-Review Decision]]="Include (Omit % Avg if needed)",  Table810[[#This Row],[Post-Review Decision]]="Include (Omit % Avg)"),Table810[[#This Row],[EAR Total Capacity]],"")</f>
        <v/>
      </c>
      <c r="R432" s="28"/>
      <c r="S432" s="45">
        <v>0</v>
      </c>
      <c r="T432" s="28"/>
      <c r="U432" s="28"/>
      <c r="V432" s="13" t="s">
        <v>606</v>
      </c>
      <c r="W432" s="12" t="b">
        <f>ISNUMBER(Table810[[#This Row],[EAR Total Capacity]])</f>
        <v>0</v>
      </c>
      <c r="X432" s="12" t="b">
        <f>IF(Table810[[#This Row],[Has  Storage for Full Averaging Period?]]="OK",TRUE,FALSE)</f>
        <v>0</v>
      </c>
      <c r="Y432" s="12" t="b">
        <f>IFERROR(IF(YEAR(Table810[[#This Row],[RISE Storage End Date]])=2025,TRUE,FALSE),FALSE)</f>
        <v>0</v>
      </c>
      <c r="Z432" s="11" t="b">
        <v>0</v>
      </c>
      <c r="AA432" s="13">
        <v>420</v>
      </c>
      <c r="AB432" s="13" t="s">
        <v>76</v>
      </c>
      <c r="AC432" s="13" t="s">
        <v>1985</v>
      </c>
      <c r="AD432" s="13" t="s">
        <v>1984</v>
      </c>
      <c r="AE432" s="13" t="s">
        <v>101</v>
      </c>
      <c r="AF432" s="13" t="s">
        <v>1986</v>
      </c>
      <c r="AG432" s="13" t="s">
        <v>91</v>
      </c>
      <c r="AH432" s="13" t="s">
        <v>102</v>
      </c>
      <c r="AI432" s="13" t="s">
        <v>103</v>
      </c>
      <c r="AJ432" s="13"/>
      <c r="AK432" s="15"/>
      <c r="AL432" s="15"/>
      <c r="AM432" s="15" t="s">
        <v>61</v>
      </c>
      <c r="AN432" s="15" t="s">
        <v>61</v>
      </c>
      <c r="AO432" s="15" t="s">
        <v>61</v>
      </c>
      <c r="AP432" s="15" t="s">
        <v>61</v>
      </c>
      <c r="AQ432" s="22"/>
      <c r="AR432" s="25"/>
      <c r="AS432" s="25"/>
      <c r="AT432" s="25"/>
      <c r="AU432" s="25"/>
      <c r="AV432" s="25"/>
      <c r="AW432" s="25"/>
      <c r="AX432" s="24"/>
    </row>
    <row r="433" spans="1:50" ht="16.5" customHeight="1">
      <c r="A433" s="36" t="s">
        <v>1987</v>
      </c>
      <c r="B433" s="28"/>
      <c r="C433" s="28" t="s">
        <v>97</v>
      </c>
      <c r="D433" s="28"/>
      <c r="E433" s="28"/>
      <c r="F433" s="28" t="s">
        <v>61</v>
      </c>
      <c r="G433" s="28"/>
      <c r="H433" s="28" t="str">
        <f>IF(ISNUMBER(Table810[[#This Row],[Total Capacity]]),"USBR Enterprise Asset Registry",IF(Table810[[#This Row],[Total Capacity]]="",""))</f>
        <v/>
      </c>
      <c r="I433" s="28"/>
      <c r="J433" s="28"/>
      <c r="K433" s="28"/>
      <c r="L433" s="50" t="s">
        <v>98</v>
      </c>
      <c r="M433" s="48"/>
      <c r="N433" s="50" t="s">
        <v>98</v>
      </c>
      <c r="O433" s="28"/>
      <c r="P433" s="37"/>
      <c r="Q433" s="28" t="str">
        <f>IF(OR(Table810[[#This Row],[Post-Review Decision]]="Include", Table810[[#This Row],[Post-Review Decision]]="Include if possible", Table810[[#This Row],[Post-Review Decision]]="Include (Omit % Avg if needed)",  Table810[[#This Row],[Post-Review Decision]]="Include (Omit % Avg)"),Table810[[#This Row],[EAR Total Capacity]],"")</f>
        <v/>
      </c>
      <c r="R433" s="28"/>
      <c r="S433" s="45">
        <v>0</v>
      </c>
      <c r="T433" s="28"/>
      <c r="U433" s="28"/>
      <c r="V433" s="13" t="s">
        <v>1875</v>
      </c>
      <c r="W433" s="12" t="b">
        <f>ISNUMBER(Table810[[#This Row],[EAR Total Capacity]])</f>
        <v>0</v>
      </c>
      <c r="X433" s="12" t="b">
        <f>IF(Table810[[#This Row],[Has  Storage for Full Averaging Period?]]="OK",TRUE,FALSE)</f>
        <v>0</v>
      </c>
      <c r="Y433" s="12" t="b">
        <f>IFERROR(IF(YEAR(Table810[[#This Row],[RISE Storage End Date]])=2025,TRUE,FALSE),FALSE)</f>
        <v>0</v>
      </c>
      <c r="Z433" s="11" t="b">
        <v>0</v>
      </c>
      <c r="AA433" s="13">
        <v>421</v>
      </c>
      <c r="AB433" s="13" t="s">
        <v>76</v>
      </c>
      <c r="AC433" s="13" t="s">
        <v>1988</v>
      </c>
      <c r="AD433" s="13" t="s">
        <v>1987</v>
      </c>
      <c r="AE433" s="13" t="s">
        <v>101</v>
      </c>
      <c r="AF433" s="13" t="s">
        <v>1989</v>
      </c>
      <c r="AG433" s="13" t="s">
        <v>80</v>
      </c>
      <c r="AH433" s="13" t="s">
        <v>81</v>
      </c>
      <c r="AI433" s="13" t="s">
        <v>103</v>
      </c>
      <c r="AJ433" s="13"/>
      <c r="AK433" s="15"/>
      <c r="AL433" s="15"/>
      <c r="AM433" s="15" t="s">
        <v>61</v>
      </c>
      <c r="AN433" s="15" t="s">
        <v>61</v>
      </c>
      <c r="AO433" s="15" t="s">
        <v>61</v>
      </c>
      <c r="AP433" s="15" t="s">
        <v>61</v>
      </c>
      <c r="AQ433" s="22"/>
      <c r="AR433" s="25"/>
      <c r="AS433" s="25"/>
      <c r="AT433" s="25"/>
      <c r="AU433" s="25"/>
      <c r="AV433" s="25"/>
      <c r="AW433" s="25"/>
      <c r="AX433" s="24"/>
    </row>
    <row r="434" spans="1:50" ht="16.5" customHeight="1">
      <c r="A434" s="36" t="s">
        <v>1990</v>
      </c>
      <c r="B434" s="28" t="s">
        <v>68</v>
      </c>
      <c r="C434" s="28" t="s">
        <v>86</v>
      </c>
      <c r="D434" s="28"/>
      <c r="E434" s="28" t="s">
        <v>70</v>
      </c>
      <c r="F434" s="28">
        <v>3670</v>
      </c>
      <c r="G434" s="28">
        <v>3</v>
      </c>
      <c r="H434" s="28" t="str">
        <f>IF(ISNUMBER(Table810[[#This Row],[Total Capacity]]),"USBR Enterprise Asset Registry",IF(Table810[[#This Row],[Total Capacity]]="",""))</f>
        <v>USBR Enterprise Asset Registry</v>
      </c>
      <c r="I434" s="28" t="s">
        <v>57</v>
      </c>
      <c r="J434" s="28" t="s">
        <v>127</v>
      </c>
      <c r="K434" s="33">
        <v>20805</v>
      </c>
      <c r="L434" s="50">
        <v>98246</v>
      </c>
      <c r="M434" s="48"/>
      <c r="N434" s="50">
        <v>98246</v>
      </c>
      <c r="O434" s="28"/>
      <c r="P434" s="37"/>
      <c r="Q434" s="28">
        <f>IF(OR(Table810[[#This Row],[Post-Review Decision]]="Include", Table810[[#This Row],[Post-Review Decision]]="Include if possible", Table810[[#This Row],[Post-Review Decision]]="Include (Omit % Avg if needed)",  Table810[[#This Row],[Post-Review Decision]]="Include (Omit % Avg)"),Table810[[#This Row],[EAR Total Capacity]],"")</f>
        <v>119051</v>
      </c>
      <c r="R434" s="28">
        <v>114953</v>
      </c>
      <c r="S434" s="46">
        <v>119035</v>
      </c>
      <c r="T434" s="28" t="s">
        <v>1991</v>
      </c>
      <c r="U434" s="28" t="s">
        <v>1992</v>
      </c>
      <c r="V434" s="13" t="s">
        <v>346</v>
      </c>
      <c r="W434" s="12" t="b">
        <f>ISNUMBER(Table810[[#This Row],[EAR Total Capacity]])</f>
        <v>1</v>
      </c>
      <c r="X434" s="12" t="b">
        <f>IF(Table810[[#This Row],[Has  Storage for Full Averaging Period?]]="OK",TRUE,FALSE)</f>
        <v>1</v>
      </c>
      <c r="Y434" s="12" t="b">
        <f>IFERROR(IF(YEAR(Table810[[#This Row],[RISE Storage End Date]])=2025,TRUE,FALSE),FALSE)</f>
        <v>1</v>
      </c>
      <c r="Z434" s="11" t="b">
        <v>0</v>
      </c>
      <c r="AA434" s="13">
        <v>422</v>
      </c>
      <c r="AB434" s="13" t="s">
        <v>76</v>
      </c>
      <c r="AC434" s="13" t="s">
        <v>1993</v>
      </c>
      <c r="AD434" s="13" t="s">
        <v>1990</v>
      </c>
      <c r="AE434" s="13" t="s">
        <v>78</v>
      </c>
      <c r="AF434" s="13" t="s">
        <v>1833</v>
      </c>
      <c r="AG434" s="13" t="s">
        <v>133</v>
      </c>
      <c r="AH434" s="13" t="s">
        <v>92</v>
      </c>
      <c r="AI434" s="13" t="s">
        <v>93</v>
      </c>
      <c r="AJ434" s="13">
        <v>119051</v>
      </c>
      <c r="AK434" s="18"/>
      <c r="AL434" s="18"/>
      <c r="AM434" s="13" t="s">
        <v>1994</v>
      </c>
      <c r="AN434" s="13" t="s">
        <v>135</v>
      </c>
      <c r="AO434" s="13" t="s">
        <v>1990</v>
      </c>
      <c r="AP434" s="13" t="s">
        <v>1995</v>
      </c>
      <c r="AQ434" s="21" t="s">
        <v>64</v>
      </c>
      <c r="AR434" s="26">
        <v>32174</v>
      </c>
      <c r="AS434" s="26">
        <v>46007</v>
      </c>
      <c r="AT434" s="25">
        <v>13781</v>
      </c>
      <c r="AU434" s="25" t="s">
        <v>65</v>
      </c>
      <c r="AV434" s="25" t="s">
        <v>65</v>
      </c>
      <c r="AW434" s="25" t="s">
        <v>65</v>
      </c>
      <c r="AX434" s="24"/>
    </row>
    <row r="435" spans="1:50" ht="16.5" customHeight="1">
      <c r="A435" s="36" t="s">
        <v>1996</v>
      </c>
      <c r="B435" s="28"/>
      <c r="C435" s="28" t="s">
        <v>97</v>
      </c>
      <c r="D435" s="28"/>
      <c r="E435" s="28"/>
      <c r="F435" s="28" t="s">
        <v>61</v>
      </c>
      <c r="G435" s="28"/>
      <c r="H435" s="28" t="str">
        <f>IF(ISNUMBER(Table810[[#This Row],[Total Capacity]]),"USBR Enterprise Asset Registry",IF(Table810[[#This Row],[Total Capacity]]="",""))</f>
        <v/>
      </c>
      <c r="I435" s="28"/>
      <c r="J435" s="28"/>
      <c r="K435" s="28"/>
      <c r="L435" s="50" t="s">
        <v>98</v>
      </c>
      <c r="M435" s="48"/>
      <c r="N435" s="50" t="s">
        <v>98</v>
      </c>
      <c r="O435" s="28"/>
      <c r="P435" s="37"/>
      <c r="Q435" s="28" t="str">
        <f>IF(OR(Table810[[#This Row],[Post-Review Decision]]="Include", Table810[[#This Row],[Post-Review Decision]]="Include if possible", Table810[[#This Row],[Post-Review Decision]]="Include (Omit % Avg if needed)",  Table810[[#This Row],[Post-Review Decision]]="Include (Omit % Avg)"),Table810[[#This Row],[EAR Total Capacity]],"")</f>
        <v/>
      </c>
      <c r="R435" s="28"/>
      <c r="S435" s="45">
        <v>0</v>
      </c>
      <c r="T435" s="28"/>
      <c r="U435" s="28"/>
      <c r="V435" s="13" t="s">
        <v>206</v>
      </c>
      <c r="W435" s="12" t="b">
        <f>ISNUMBER(Table810[[#This Row],[EAR Total Capacity]])</f>
        <v>0</v>
      </c>
      <c r="X435" s="12" t="b">
        <f>IF(Table810[[#This Row],[Has  Storage for Full Averaging Period?]]="OK",TRUE,FALSE)</f>
        <v>0</v>
      </c>
      <c r="Y435" s="12" t="b">
        <f>IFERROR(IF(YEAR(Table810[[#This Row],[RISE Storage End Date]])=2025,TRUE,FALSE),FALSE)</f>
        <v>0</v>
      </c>
      <c r="Z435" s="11" t="b">
        <v>0</v>
      </c>
      <c r="AA435" s="13">
        <v>423</v>
      </c>
      <c r="AB435" s="13" t="s">
        <v>76</v>
      </c>
      <c r="AC435" s="13" t="s">
        <v>1996</v>
      </c>
      <c r="AD435" s="13" t="s">
        <v>1996</v>
      </c>
      <c r="AE435" s="13" t="s">
        <v>343</v>
      </c>
      <c r="AF435" s="13" t="s">
        <v>344</v>
      </c>
      <c r="AG435" s="13" t="s">
        <v>80</v>
      </c>
      <c r="AH435" s="13" t="s">
        <v>81</v>
      </c>
      <c r="AI435" s="13" t="s">
        <v>110</v>
      </c>
      <c r="AJ435" s="13"/>
      <c r="AK435" s="15"/>
      <c r="AL435" s="15"/>
      <c r="AM435" s="15" t="s">
        <v>61</v>
      </c>
      <c r="AN435" s="15" t="s">
        <v>61</v>
      </c>
      <c r="AO435" s="15" t="s">
        <v>61</v>
      </c>
      <c r="AP435" s="15" t="s">
        <v>61</v>
      </c>
      <c r="AQ435" s="21" t="s">
        <v>136</v>
      </c>
      <c r="AR435" s="25"/>
      <c r="AS435" s="25"/>
      <c r="AT435" s="25"/>
      <c r="AU435" s="25"/>
      <c r="AV435" s="25"/>
      <c r="AW435" s="25"/>
      <c r="AX435" s="24"/>
    </row>
    <row r="436" spans="1:50" ht="16.5" customHeight="1">
      <c r="A436" s="36" t="s">
        <v>1997</v>
      </c>
      <c r="B436" s="28" t="s">
        <v>68</v>
      </c>
      <c r="C436" s="28" t="s">
        <v>321</v>
      </c>
      <c r="D436" s="28"/>
      <c r="E436" s="28" t="s">
        <v>70</v>
      </c>
      <c r="F436" s="28">
        <v>3208</v>
      </c>
      <c r="G436" s="28">
        <v>3</v>
      </c>
      <c r="H436" s="28" t="str">
        <f>IF(ISNUMBER(Table810[[#This Row],[Total Capacity]]),"USBR Enterprise Asset Registry",IF(Table810[[#This Row],[Total Capacity]]="",""))</f>
        <v>USBR Enterprise Asset Registry</v>
      </c>
      <c r="I436" s="28" t="s">
        <v>257</v>
      </c>
      <c r="J436" s="28" t="s">
        <v>72</v>
      </c>
      <c r="K436" s="28"/>
      <c r="L436" s="50">
        <v>1702</v>
      </c>
      <c r="M436" s="48">
        <v>1661</v>
      </c>
      <c r="N436" s="50">
        <v>1661</v>
      </c>
      <c r="O436" s="28"/>
      <c r="P436" s="37"/>
      <c r="Q436" s="28">
        <f>IF(OR(Table810[[#This Row],[Post-Review Decision]]="Include", Table810[[#This Row],[Post-Review Decision]]="Include if possible", Table810[[#This Row],[Post-Review Decision]]="Include (Omit % Avg if needed)",  Table810[[#This Row],[Post-Review Decision]]="Include (Omit % Avg)"),Table810[[#This Row],[EAR Total Capacity]],"")</f>
        <v>1928</v>
      </c>
      <c r="R436" s="28">
        <v>1661</v>
      </c>
      <c r="S436" s="46">
        <v>1702</v>
      </c>
      <c r="T436" s="28" t="s">
        <v>1998</v>
      </c>
      <c r="U436" s="28" t="s">
        <v>1999</v>
      </c>
      <c r="V436" s="13" t="s">
        <v>606</v>
      </c>
      <c r="W436" s="12" t="b">
        <f>ISNUMBER(Table810[[#This Row],[EAR Total Capacity]])</f>
        <v>1</v>
      </c>
      <c r="X436" s="12" t="b">
        <f>IF(Table810[[#This Row],[Has  Storage for Full Averaging Period?]]="OK",TRUE,FALSE)</f>
        <v>0</v>
      </c>
      <c r="Y436" s="12" t="b">
        <f>IFERROR(IF(YEAR(Table810[[#This Row],[RISE Storage End Date]])=2025,TRUE,FALSE),FALSE)</f>
        <v>1</v>
      </c>
      <c r="Z436" s="11" t="b">
        <v>0</v>
      </c>
      <c r="AA436" s="13">
        <v>424</v>
      </c>
      <c r="AB436" s="13" t="s">
        <v>76</v>
      </c>
      <c r="AC436" s="13" t="s">
        <v>2000</v>
      </c>
      <c r="AD436" s="13" t="s">
        <v>1997</v>
      </c>
      <c r="AE436" s="13" t="s">
        <v>78</v>
      </c>
      <c r="AF436" s="13" t="s">
        <v>2001</v>
      </c>
      <c r="AG436" s="13" t="s">
        <v>91</v>
      </c>
      <c r="AH436" s="13" t="s">
        <v>102</v>
      </c>
      <c r="AI436" s="13" t="s">
        <v>93</v>
      </c>
      <c r="AJ436" s="13">
        <v>1928</v>
      </c>
      <c r="AK436" s="18"/>
      <c r="AL436" s="18"/>
      <c r="AM436" s="13" t="s">
        <v>2000</v>
      </c>
      <c r="AN436" s="13" t="s">
        <v>63</v>
      </c>
      <c r="AO436" s="13" t="s">
        <v>1997</v>
      </c>
      <c r="AP436" s="13" t="e">
        <v>#N/A</v>
      </c>
      <c r="AQ436" s="21" t="s">
        <v>64</v>
      </c>
      <c r="AR436" s="26">
        <v>37895</v>
      </c>
      <c r="AS436" s="26">
        <v>46006</v>
      </c>
      <c r="AT436" s="25">
        <v>8113</v>
      </c>
      <c r="AU436" s="25" t="s">
        <v>66</v>
      </c>
      <c r="AV436" s="25" t="s">
        <v>65</v>
      </c>
      <c r="AW436" s="25" t="s">
        <v>66</v>
      </c>
      <c r="AX436" s="24"/>
    </row>
    <row r="437" spans="1:50" ht="16.5" customHeight="1">
      <c r="A437" s="36" t="s">
        <v>2002</v>
      </c>
      <c r="B437" s="28" t="s">
        <v>68</v>
      </c>
      <c r="C437" s="28" t="s">
        <v>86</v>
      </c>
      <c r="D437" s="28"/>
      <c r="E437" s="28" t="s">
        <v>70</v>
      </c>
      <c r="F437" s="28">
        <v>3203</v>
      </c>
      <c r="G437" s="28">
        <v>3</v>
      </c>
      <c r="H437" s="28" t="str">
        <f>IF(ISNUMBER(Table810[[#This Row],[Total Capacity]]),"USBR Enterprise Asset Registry",IF(Table810[[#This Row],[Total Capacity]]="",""))</f>
        <v>USBR Enterprise Asset Registry</v>
      </c>
      <c r="I437" s="28" t="s">
        <v>57</v>
      </c>
      <c r="J437" s="28"/>
      <c r="K437" s="28"/>
      <c r="L437" s="50">
        <v>2447650</v>
      </c>
      <c r="M437" s="48"/>
      <c r="N437" s="50">
        <v>2447650</v>
      </c>
      <c r="O437" s="28"/>
      <c r="P437" s="37"/>
      <c r="Q437" s="28">
        <f>IF(OR(Table810[[#This Row],[Post-Review Decision]]="Include", Table810[[#This Row],[Post-Review Decision]]="Include if possible", Table810[[#This Row],[Post-Review Decision]]="Include (Omit % Avg if needed)",  Table810[[#This Row],[Post-Review Decision]]="Include (Omit % Avg)"),Table810[[#This Row],[EAR Total Capacity]],"")</f>
        <v>2447650</v>
      </c>
      <c r="R437" s="28">
        <v>2135010</v>
      </c>
      <c r="S437" s="46">
        <v>2437630</v>
      </c>
      <c r="T437" s="28" t="s">
        <v>2002</v>
      </c>
      <c r="U437" s="28" t="s">
        <v>2003</v>
      </c>
      <c r="V437" s="13" t="s">
        <v>358</v>
      </c>
      <c r="W437" s="12" t="b">
        <f>ISNUMBER(Table810[[#This Row],[EAR Total Capacity]])</f>
        <v>1</v>
      </c>
      <c r="X437" s="12" t="b">
        <f>IF(Table810[[#This Row],[Has  Storage for Full Averaging Period?]]="OK",TRUE,FALSE)</f>
        <v>1</v>
      </c>
      <c r="Y437" s="12" t="b">
        <f>IFERROR(IF(YEAR(Table810[[#This Row],[RISE Storage End Date]])=2025,TRUE,FALSE),FALSE)</f>
        <v>1</v>
      </c>
      <c r="Z437" s="11" t="b">
        <v>0</v>
      </c>
      <c r="AA437" s="13">
        <v>425</v>
      </c>
      <c r="AB437" s="13" t="s">
        <v>76</v>
      </c>
      <c r="AC437" s="13" t="s">
        <v>2004</v>
      </c>
      <c r="AD437" s="13" t="s">
        <v>2002</v>
      </c>
      <c r="AE437" s="13" t="s">
        <v>78</v>
      </c>
      <c r="AF437" s="13" t="s">
        <v>2005</v>
      </c>
      <c r="AG437" s="13" t="s">
        <v>159</v>
      </c>
      <c r="AH437" s="13" t="s">
        <v>160</v>
      </c>
      <c r="AI437" s="13" t="s">
        <v>93</v>
      </c>
      <c r="AJ437" s="13">
        <v>2447650</v>
      </c>
      <c r="AK437" s="18"/>
      <c r="AL437" s="18"/>
      <c r="AM437" s="13" t="s">
        <v>2006</v>
      </c>
      <c r="AN437" s="13" t="s">
        <v>246</v>
      </c>
      <c r="AO437" s="13" t="s">
        <v>2002</v>
      </c>
      <c r="AP437" s="13" t="s">
        <v>2002</v>
      </c>
      <c r="AQ437" s="21" t="s">
        <v>64</v>
      </c>
      <c r="AR437" s="26">
        <v>22951</v>
      </c>
      <c r="AS437" s="26">
        <v>46007</v>
      </c>
      <c r="AT437" s="25">
        <v>23058</v>
      </c>
      <c r="AU437" s="25" t="s">
        <v>65</v>
      </c>
      <c r="AV437" s="25" t="s">
        <v>65</v>
      </c>
      <c r="AW437" s="25" t="s">
        <v>65</v>
      </c>
      <c r="AX437" s="24"/>
    </row>
    <row r="438" spans="1:50" ht="16.5" customHeight="1">
      <c r="A438" s="36" t="s">
        <v>2007</v>
      </c>
      <c r="B438" s="28" t="s">
        <v>68</v>
      </c>
      <c r="C438" s="28" t="s">
        <v>86</v>
      </c>
      <c r="D438" s="28"/>
      <c r="E438" s="28" t="s">
        <v>70</v>
      </c>
      <c r="F438" s="28">
        <v>402</v>
      </c>
      <c r="G438" s="28">
        <v>3</v>
      </c>
      <c r="H438" s="28" t="str">
        <f>IF(ISNUMBER(Table810[[#This Row],[Total Capacity]]),"USBR Enterprise Asset Registry",IF(Table810[[#This Row],[Total Capacity]]="",""))</f>
        <v>USBR Enterprise Asset Registry</v>
      </c>
      <c r="I438" s="28" t="s">
        <v>71</v>
      </c>
      <c r="J438" s="28" t="s">
        <v>127</v>
      </c>
      <c r="K438" s="28">
        <v>147605</v>
      </c>
      <c r="L438" s="50">
        <v>60763</v>
      </c>
      <c r="M438" s="48"/>
      <c r="N438" s="50">
        <v>60763</v>
      </c>
      <c r="O438" s="28"/>
      <c r="P438" s="37"/>
      <c r="Q438" s="28">
        <f>IF(OR(Table810[[#This Row],[Post-Review Decision]]="Include", Table810[[#This Row],[Post-Review Decision]]="Include if possible", Table810[[#This Row],[Post-Review Decision]]="Include (Omit % Avg if needed)",  Table810[[#This Row],[Post-Review Decision]]="Include (Omit % Avg)"),Table810[[#This Row],[EAR Total Capacity]],"")</f>
        <v>212696</v>
      </c>
      <c r="R438" s="28">
        <v>208368</v>
      </c>
      <c r="S438" s="46">
        <v>208368</v>
      </c>
      <c r="T438" s="28" t="s">
        <v>2008</v>
      </c>
      <c r="U438" s="28" t="s">
        <v>2009</v>
      </c>
      <c r="V438" s="13" t="s">
        <v>2010</v>
      </c>
      <c r="W438" s="12" t="b">
        <f>ISNUMBER(Table810[[#This Row],[EAR Total Capacity]])</f>
        <v>1</v>
      </c>
      <c r="X438" s="12" t="b">
        <f>IF(Table810[[#This Row],[Has  Storage for Full Averaging Period?]]="OK",TRUE,FALSE)</f>
        <v>1</v>
      </c>
      <c r="Y438" s="12" t="b">
        <f>IFERROR(IF(YEAR(Table810[[#This Row],[RISE Storage End Date]])=2025,TRUE,FALSE),FALSE)</f>
        <v>1</v>
      </c>
      <c r="Z438" s="11" t="b">
        <v>0</v>
      </c>
      <c r="AA438" s="13">
        <v>233</v>
      </c>
      <c r="AB438" s="13" t="s">
        <v>76</v>
      </c>
      <c r="AC438" s="13" t="s">
        <v>2011</v>
      </c>
      <c r="AD438" s="13" t="s">
        <v>2007</v>
      </c>
      <c r="AE438" s="13" t="s">
        <v>78</v>
      </c>
      <c r="AF438" s="13" t="s">
        <v>2012</v>
      </c>
      <c r="AG438" s="13" t="s">
        <v>109</v>
      </c>
      <c r="AH438" s="13" t="s">
        <v>92</v>
      </c>
      <c r="AI438" s="13" t="s">
        <v>93</v>
      </c>
      <c r="AJ438" s="13">
        <v>212696</v>
      </c>
      <c r="AK438" s="18"/>
      <c r="AL438" s="18"/>
      <c r="AM438" s="13" t="s">
        <v>2013</v>
      </c>
      <c r="AN438" s="13" t="s">
        <v>95</v>
      </c>
      <c r="AO438" s="13" t="s">
        <v>2007</v>
      </c>
      <c r="AP438" s="13" t="s">
        <v>2014</v>
      </c>
      <c r="AQ438" s="21" t="s">
        <v>64</v>
      </c>
      <c r="AR438" s="26">
        <v>18172</v>
      </c>
      <c r="AS438" s="26">
        <v>46007</v>
      </c>
      <c r="AT438" s="25">
        <v>27833</v>
      </c>
      <c r="AU438" s="25" t="s">
        <v>65</v>
      </c>
      <c r="AV438" s="25" t="s">
        <v>65</v>
      </c>
      <c r="AW438" s="25" t="s">
        <v>65</v>
      </c>
      <c r="AX438" s="24"/>
    </row>
    <row r="439" spans="1:50" ht="16.5" customHeight="1">
      <c r="A439" s="36" t="s">
        <v>2015</v>
      </c>
      <c r="B439" s="28"/>
      <c r="C439" s="28" t="s">
        <v>97</v>
      </c>
      <c r="D439" s="28"/>
      <c r="E439" s="28"/>
      <c r="F439" s="28" t="s">
        <v>61</v>
      </c>
      <c r="G439" s="28"/>
      <c r="H439" s="28" t="str">
        <f>IF(ISNUMBER(Table810[[#This Row],[Total Capacity]]),"USBR Enterprise Asset Registry",IF(Table810[[#This Row],[Total Capacity]]="",""))</f>
        <v/>
      </c>
      <c r="I439" s="28"/>
      <c r="J439" s="28"/>
      <c r="K439" s="28"/>
      <c r="L439" s="50" t="s">
        <v>98</v>
      </c>
      <c r="M439" s="48"/>
      <c r="N439" s="50" t="s">
        <v>98</v>
      </c>
      <c r="O439" s="28"/>
      <c r="P439" s="37"/>
      <c r="Q439" s="28" t="str">
        <f>IF(OR(Table810[[#This Row],[Post-Review Decision]]="Include", Table810[[#This Row],[Post-Review Decision]]="Include if possible", Table810[[#This Row],[Post-Review Decision]]="Include (Omit % Avg if needed)",  Table810[[#This Row],[Post-Review Decision]]="Include (Omit % Avg)"),Table810[[#This Row],[EAR Total Capacity]],"")</f>
        <v/>
      </c>
      <c r="R439" s="28"/>
      <c r="S439" s="45">
        <v>0</v>
      </c>
      <c r="T439" s="28"/>
      <c r="U439" s="28"/>
      <c r="V439" s="13" t="s">
        <v>107</v>
      </c>
      <c r="W439" s="12" t="b">
        <f>ISNUMBER(Table810[[#This Row],[EAR Total Capacity]])</f>
        <v>0</v>
      </c>
      <c r="X439" s="12" t="b">
        <f>IF(Table810[[#This Row],[Has  Storage for Full Averaging Period?]]="OK",TRUE,FALSE)</f>
        <v>0</v>
      </c>
      <c r="Y439" s="12" t="b">
        <f>IFERROR(IF(YEAR(Table810[[#This Row],[RISE Storage End Date]])=2025,TRUE,FALSE),FALSE)</f>
        <v>0</v>
      </c>
      <c r="Z439" s="11" t="b">
        <v>0</v>
      </c>
      <c r="AA439" s="13">
        <v>426</v>
      </c>
      <c r="AB439" s="13" t="s">
        <v>76</v>
      </c>
      <c r="AC439" s="13" t="s">
        <v>2016</v>
      </c>
      <c r="AD439" s="13" t="s">
        <v>2015</v>
      </c>
      <c r="AE439" s="13" t="s">
        <v>101</v>
      </c>
      <c r="AF439" s="13" t="s">
        <v>2017</v>
      </c>
      <c r="AG439" s="13" t="s">
        <v>109</v>
      </c>
      <c r="AH439" s="13" t="s">
        <v>92</v>
      </c>
      <c r="AI439" s="13" t="s">
        <v>103</v>
      </c>
      <c r="AJ439" s="13"/>
      <c r="AK439" s="15"/>
      <c r="AL439" s="15"/>
      <c r="AM439" s="15" t="s">
        <v>61</v>
      </c>
      <c r="AN439" s="15" t="s">
        <v>61</v>
      </c>
      <c r="AO439" s="15" t="s">
        <v>61</v>
      </c>
      <c r="AP439" s="15" t="s">
        <v>61</v>
      </c>
      <c r="AQ439" s="22"/>
      <c r="AR439" s="25"/>
      <c r="AS439" s="25"/>
      <c r="AT439" s="25"/>
      <c r="AU439" s="25"/>
      <c r="AV439" s="25"/>
      <c r="AW439" s="25"/>
      <c r="AX439" s="24"/>
    </row>
    <row r="440" spans="1:50" ht="16.5" customHeight="1">
      <c r="A440" s="36" t="s">
        <v>2018</v>
      </c>
      <c r="B440" s="28" t="s">
        <v>68</v>
      </c>
      <c r="C440" s="28" t="s">
        <v>86</v>
      </c>
      <c r="D440" s="28"/>
      <c r="E440" s="28" t="s">
        <v>70</v>
      </c>
      <c r="F440" s="28">
        <v>498</v>
      </c>
      <c r="G440" s="28">
        <v>3</v>
      </c>
      <c r="H440" s="28" t="str">
        <f>IF(ISNUMBER(Table810[[#This Row],[Total Capacity]]),"USBR Enterprise Asset Registry",IF(Table810[[#This Row],[Total Capacity]]="",""))</f>
        <v>USBR Enterprise Asset Registry</v>
      </c>
      <c r="I440" s="28" t="s">
        <v>57</v>
      </c>
      <c r="J440" s="28" t="s">
        <v>72</v>
      </c>
      <c r="K440" s="28"/>
      <c r="L440" s="50">
        <v>129398</v>
      </c>
      <c r="M440" s="48"/>
      <c r="N440" s="50">
        <v>129398</v>
      </c>
      <c r="O440" s="28"/>
      <c r="P440" s="37"/>
      <c r="Q440" s="28">
        <f>IF(OR(Table810[[#This Row],[Post-Review Decision]]="Include", Table810[[#This Row],[Post-Review Decision]]="Include if possible", Table810[[#This Row],[Post-Review Decision]]="Include (Omit % Avg if needed)",  Table810[[#This Row],[Post-Review Decision]]="Include (Omit % Avg)"),Table810[[#This Row],[EAR Total Capacity]],"")</f>
        <v>129398</v>
      </c>
      <c r="R440" s="28">
        <v>120478</v>
      </c>
      <c r="S440" s="46">
        <v>126588</v>
      </c>
      <c r="T440" s="28" t="s">
        <v>2019</v>
      </c>
      <c r="U440" s="28" t="s">
        <v>2020</v>
      </c>
      <c r="V440" s="13" t="s">
        <v>442</v>
      </c>
      <c r="W440" s="12" t="b">
        <f>ISNUMBER(Table810[[#This Row],[EAR Total Capacity]])</f>
        <v>1</v>
      </c>
      <c r="X440" s="12" t="b">
        <f>IF(Table810[[#This Row],[Has  Storage for Full Averaging Period?]]="OK",TRUE,FALSE)</f>
        <v>1</v>
      </c>
      <c r="Y440" s="12" t="b">
        <f>IFERROR(IF(YEAR(Table810[[#This Row],[RISE Storage End Date]])=2025,TRUE,FALSE),FALSE)</f>
        <v>1</v>
      </c>
      <c r="Z440" s="11" t="b">
        <v>0</v>
      </c>
      <c r="AA440" s="13">
        <v>427</v>
      </c>
      <c r="AB440" s="13" t="s">
        <v>76</v>
      </c>
      <c r="AC440" s="13" t="s">
        <v>2021</v>
      </c>
      <c r="AD440" s="13" t="s">
        <v>2018</v>
      </c>
      <c r="AE440" s="13" t="s">
        <v>78</v>
      </c>
      <c r="AF440" s="13" t="s">
        <v>2022</v>
      </c>
      <c r="AG440" s="13" t="s">
        <v>91</v>
      </c>
      <c r="AH440" s="13" t="s">
        <v>92</v>
      </c>
      <c r="AI440" s="13" t="s">
        <v>93</v>
      </c>
      <c r="AJ440" s="13">
        <v>129398</v>
      </c>
      <c r="AK440" s="18"/>
      <c r="AL440" s="18"/>
      <c r="AM440" s="13" t="s">
        <v>2023</v>
      </c>
      <c r="AN440" s="13" t="s">
        <v>135</v>
      </c>
      <c r="AO440" s="13" t="s">
        <v>2018</v>
      </c>
      <c r="AP440" s="13" t="s">
        <v>2024</v>
      </c>
      <c r="AQ440" s="21" t="s">
        <v>64</v>
      </c>
      <c r="AR440" s="26">
        <v>25337</v>
      </c>
      <c r="AS440" s="26">
        <v>46007</v>
      </c>
      <c r="AT440" s="25">
        <v>20747</v>
      </c>
      <c r="AU440" s="25" t="s">
        <v>65</v>
      </c>
      <c r="AV440" s="25" t="s">
        <v>65</v>
      </c>
      <c r="AW440" s="25" t="s">
        <v>65</v>
      </c>
      <c r="AX440" s="24"/>
    </row>
    <row r="441" spans="1:50" ht="16.5" customHeight="1">
      <c r="A441" s="36" t="s">
        <v>2025</v>
      </c>
      <c r="B441" s="28" t="s">
        <v>68</v>
      </c>
      <c r="C441" s="28" t="s">
        <v>52</v>
      </c>
      <c r="D441" s="28" t="s">
        <v>125</v>
      </c>
      <c r="E441" s="28" t="s">
        <v>126</v>
      </c>
      <c r="F441" s="28">
        <v>7304</v>
      </c>
      <c r="G441" s="28">
        <v>3</v>
      </c>
      <c r="H441" s="28" t="str">
        <f>IF(ISNUMBER(Table810[[#This Row],[Total Capacity]]),"USBR Enterprise Asset Registry",IF(Table810[[#This Row],[Total Capacity]]="",""))</f>
        <v>USBR Enterprise Asset Registry</v>
      </c>
      <c r="I441" s="28" t="s">
        <v>57</v>
      </c>
      <c r="J441" s="28" t="s">
        <v>127</v>
      </c>
      <c r="K441" s="33">
        <v>454766</v>
      </c>
      <c r="L441" s="50">
        <v>186468</v>
      </c>
      <c r="M441" s="48"/>
      <c r="N441" s="50">
        <v>186468</v>
      </c>
      <c r="O441" s="28"/>
      <c r="P441" s="37" t="s">
        <v>2026</v>
      </c>
      <c r="Q441" s="28">
        <f>IF(OR(Table810[[#This Row],[Post-Review Decision]]="Include", Table810[[#This Row],[Post-Review Decision]]="Include if possible", Table810[[#This Row],[Post-Review Decision]]="Include (Omit % Avg if needed)",  Table810[[#This Row],[Post-Review Decision]]="Include (Omit % Avg)"),Table810[[#This Row],[EAR Total Capacity]],"")</f>
        <v>641234</v>
      </c>
      <c r="R441" s="28">
        <v>632887</v>
      </c>
      <c r="S441" s="46">
        <v>632887</v>
      </c>
      <c r="T441" s="28" t="s">
        <v>2025</v>
      </c>
      <c r="U441" s="28" t="s">
        <v>2027</v>
      </c>
      <c r="V441" s="13" t="s">
        <v>2028</v>
      </c>
      <c r="W441" s="12" t="b">
        <f>ISNUMBER(Table810[[#This Row],[EAR Total Capacity]])</f>
        <v>1</v>
      </c>
      <c r="X441" s="12" t="b">
        <f>IF(Table810[[#This Row],[Has  Storage for Full Averaging Period?]]="OK",TRUE,FALSE)</f>
        <v>0</v>
      </c>
      <c r="Y441" s="12" t="b">
        <f>IFERROR(IF(YEAR(Table810[[#This Row],[RISE Storage End Date]])=2025,TRUE,FALSE),FALSE)</f>
        <v>0</v>
      </c>
      <c r="Z441" s="11" t="b">
        <v>0</v>
      </c>
      <c r="AA441" s="13">
        <v>428</v>
      </c>
      <c r="AB441" s="13" t="s">
        <v>76</v>
      </c>
      <c r="AC441" s="13" t="s">
        <v>2029</v>
      </c>
      <c r="AD441" s="13" t="s">
        <v>2025</v>
      </c>
      <c r="AE441" s="13" t="s">
        <v>78</v>
      </c>
      <c r="AF441" s="13" t="s">
        <v>2030</v>
      </c>
      <c r="AG441" s="13" t="s">
        <v>133</v>
      </c>
      <c r="AH441" s="13" t="s">
        <v>92</v>
      </c>
      <c r="AI441" s="13" t="s">
        <v>93</v>
      </c>
      <c r="AJ441" s="13">
        <v>641234</v>
      </c>
      <c r="AK441" s="15">
        <v>-100.5284</v>
      </c>
      <c r="AL441" s="15">
        <v>31.365600000000001</v>
      </c>
      <c r="AM441" s="15" t="s">
        <v>61</v>
      </c>
      <c r="AN441" s="15" t="s">
        <v>61</v>
      </c>
      <c r="AO441" s="15" t="s">
        <v>61</v>
      </c>
      <c r="AP441" s="15" t="s">
        <v>61</v>
      </c>
      <c r="AQ441" s="21" t="s">
        <v>136</v>
      </c>
      <c r="AR441" s="25"/>
      <c r="AS441" s="25"/>
      <c r="AT441" s="25"/>
      <c r="AU441" s="25"/>
      <c r="AV441" s="25"/>
      <c r="AW441" s="25"/>
      <c r="AX441" s="24"/>
    </row>
    <row r="442" spans="1:50" ht="16.5" customHeight="1">
      <c r="A442" s="36" t="s">
        <v>2031</v>
      </c>
      <c r="B442" s="28" t="s">
        <v>68</v>
      </c>
      <c r="C442" s="28" t="s">
        <v>86</v>
      </c>
      <c r="D442" s="28"/>
      <c r="E442" s="28" t="s">
        <v>70</v>
      </c>
      <c r="F442" s="28">
        <v>499</v>
      </c>
      <c r="G442" s="28">
        <v>3</v>
      </c>
      <c r="H442" s="28" t="str">
        <f>IF(ISNUMBER(Table810[[#This Row],[Total Capacity]]),"USBR Enterprise Asset Registry",IF(Table810[[#This Row],[Total Capacity]]="",""))</f>
        <v>USBR Enterprise Asset Registry</v>
      </c>
      <c r="I442" s="28" t="s">
        <v>57</v>
      </c>
      <c r="J442" s="28" t="s">
        <v>72</v>
      </c>
      <c r="K442" s="28"/>
      <c r="L442" s="50">
        <v>141000</v>
      </c>
      <c r="M442" s="48">
        <v>140749</v>
      </c>
      <c r="N442" s="50">
        <v>140749</v>
      </c>
      <c r="O442" s="28"/>
      <c r="P442" s="37"/>
      <c r="Q442" s="28">
        <f>IF(OR(Table810[[#This Row],[Post-Review Decision]]="Include", Table810[[#This Row],[Post-Review Decision]]="Include if possible", Table810[[#This Row],[Post-Review Decision]]="Include (Omit % Avg if needed)",  Table810[[#This Row],[Post-Review Decision]]="Include (Omit % Avg)"),Table810[[#This Row],[EAR Total Capacity]],"")</f>
        <v>141000</v>
      </c>
      <c r="R442" s="28">
        <v>68000</v>
      </c>
      <c r="S442" s="46">
        <v>86000</v>
      </c>
      <c r="T442" s="28" t="s">
        <v>2031</v>
      </c>
      <c r="U442" s="28" t="s">
        <v>2032</v>
      </c>
      <c r="V442" s="13" t="s">
        <v>442</v>
      </c>
      <c r="W442" s="12" t="b">
        <f>ISNUMBER(Table810[[#This Row],[EAR Total Capacity]])</f>
        <v>1</v>
      </c>
      <c r="X442" s="12" t="b">
        <f>IF(Table810[[#This Row],[Has  Storage for Full Averaging Period?]]="OK",TRUE,FALSE)</f>
        <v>1</v>
      </c>
      <c r="Y442" s="12" t="b">
        <f>IFERROR(IF(YEAR(Table810[[#This Row],[RISE Storage End Date]])=2025,TRUE,FALSE),FALSE)</f>
        <v>1</v>
      </c>
      <c r="Z442" s="11" t="b">
        <v>0</v>
      </c>
      <c r="AA442" s="13">
        <v>429</v>
      </c>
      <c r="AB442" s="13" t="s">
        <v>76</v>
      </c>
      <c r="AC442" s="13" t="s">
        <v>2031</v>
      </c>
      <c r="AD442" s="13" t="s">
        <v>2031</v>
      </c>
      <c r="AE442" s="13" t="s">
        <v>78</v>
      </c>
      <c r="AF442" s="13" t="s">
        <v>2033</v>
      </c>
      <c r="AG442" s="13" t="s">
        <v>91</v>
      </c>
      <c r="AH442" s="13" t="s">
        <v>92</v>
      </c>
      <c r="AI442" s="13" t="s">
        <v>93</v>
      </c>
      <c r="AJ442" s="13">
        <v>141000</v>
      </c>
      <c r="AK442" s="18"/>
      <c r="AL442" s="18"/>
      <c r="AM442" s="13" t="s">
        <v>2034</v>
      </c>
      <c r="AN442" s="13" t="s">
        <v>135</v>
      </c>
      <c r="AO442" s="13" t="s">
        <v>2031</v>
      </c>
      <c r="AP442" s="13" t="s">
        <v>2031</v>
      </c>
      <c r="AQ442" s="21" t="s">
        <v>64</v>
      </c>
      <c r="AR442" s="26">
        <v>29571</v>
      </c>
      <c r="AS442" s="26">
        <v>46007</v>
      </c>
      <c r="AT442" s="25">
        <v>15431</v>
      </c>
      <c r="AU442" s="25" t="s">
        <v>65</v>
      </c>
      <c r="AV442" s="25" t="s">
        <v>65</v>
      </c>
      <c r="AW442" s="25" t="s">
        <v>65</v>
      </c>
      <c r="AX442" s="24"/>
    </row>
    <row r="443" spans="1:50" ht="16.5" customHeight="1">
      <c r="A443" s="36" t="s">
        <v>2035</v>
      </c>
      <c r="B443" s="28"/>
      <c r="C443" s="28" t="s">
        <v>97</v>
      </c>
      <c r="D443" s="28"/>
      <c r="E443" s="28"/>
      <c r="F443" s="28" t="s">
        <v>61</v>
      </c>
      <c r="G443" s="28"/>
      <c r="H443" s="28" t="str">
        <f>IF(ISNUMBER(Table810[[#This Row],[Total Capacity]]),"USBR Enterprise Asset Registry",IF(Table810[[#This Row],[Total Capacity]]="",""))</f>
        <v/>
      </c>
      <c r="I443" s="28"/>
      <c r="J443" s="28"/>
      <c r="K443" s="28"/>
      <c r="L443" s="50" t="s">
        <v>98</v>
      </c>
      <c r="M443" s="48"/>
      <c r="N443" s="50" t="s">
        <v>98</v>
      </c>
      <c r="O443" s="28"/>
      <c r="P443" s="37"/>
      <c r="Q443" s="28" t="str">
        <f>IF(OR(Table810[[#This Row],[Post-Review Decision]]="Include", Table810[[#This Row],[Post-Review Decision]]="Include if possible", Table810[[#This Row],[Post-Review Decision]]="Include (Omit % Avg if needed)",  Table810[[#This Row],[Post-Review Decision]]="Include (Omit % Avg)"),Table810[[#This Row],[EAR Total Capacity]],"")</f>
        <v/>
      </c>
      <c r="R443" s="28">
        <v>198000</v>
      </c>
      <c r="S443" s="46">
        <v>198000</v>
      </c>
      <c r="T443" s="28"/>
      <c r="U443" s="28"/>
      <c r="V443" s="13" t="s">
        <v>2036</v>
      </c>
      <c r="W443" s="12" t="b">
        <f>ISNUMBER(Table810[[#This Row],[EAR Total Capacity]])</f>
        <v>1</v>
      </c>
      <c r="X443" s="12" t="b">
        <f>IF(Table810[[#This Row],[Has  Storage for Full Averaging Period?]]="OK",TRUE,FALSE)</f>
        <v>0</v>
      </c>
      <c r="Y443" s="12" t="b">
        <f>IFERROR(IF(YEAR(Table810[[#This Row],[RISE Storage End Date]])=2025,TRUE,FALSE),FALSE)</f>
        <v>0</v>
      </c>
      <c r="Z443" s="11" t="b">
        <v>0</v>
      </c>
      <c r="AA443" s="13">
        <v>430</v>
      </c>
      <c r="AB443" s="13" t="s">
        <v>76</v>
      </c>
      <c r="AC443" s="13" t="s">
        <v>2037</v>
      </c>
      <c r="AD443" s="13" t="s">
        <v>2035</v>
      </c>
      <c r="AE443" s="13" t="s">
        <v>78</v>
      </c>
      <c r="AF443" s="13" t="s">
        <v>2038</v>
      </c>
      <c r="AG443" s="13" t="s">
        <v>179</v>
      </c>
      <c r="AH443" s="13" t="s">
        <v>160</v>
      </c>
      <c r="AI443" s="13" t="s">
        <v>93</v>
      </c>
      <c r="AJ443" s="13">
        <v>240000</v>
      </c>
      <c r="AK443" s="15"/>
      <c r="AL443" s="15"/>
      <c r="AM443" s="15" t="s">
        <v>61</v>
      </c>
      <c r="AN443" s="15" t="s">
        <v>61</v>
      </c>
      <c r="AO443" s="15" t="s">
        <v>61</v>
      </c>
      <c r="AP443" s="15" t="s">
        <v>61</v>
      </c>
      <c r="AQ443" s="21" t="s">
        <v>136</v>
      </c>
      <c r="AR443" s="25"/>
      <c r="AS443" s="25"/>
      <c r="AT443" s="25"/>
      <c r="AU443" s="25"/>
      <c r="AV443" s="25"/>
      <c r="AW443" s="25"/>
      <c r="AX443" s="24"/>
    </row>
    <row r="444" spans="1:50" ht="16.5" customHeight="1">
      <c r="A444" s="36" t="s">
        <v>2039</v>
      </c>
      <c r="B444" s="28" t="s">
        <v>68</v>
      </c>
      <c r="C444" s="28" t="s">
        <v>69</v>
      </c>
      <c r="D444" s="28"/>
      <c r="E444" s="28" t="s">
        <v>70</v>
      </c>
      <c r="F444" s="28">
        <v>3671</v>
      </c>
      <c r="G444" s="28">
        <v>3</v>
      </c>
      <c r="H444" s="28" t="str">
        <f>IF(ISNUMBER(Table810[[#This Row],[Total Capacity]]),"USBR Enterprise Asset Registry",IF(Table810[[#This Row],[Total Capacity]]="",""))</f>
        <v>USBR Enterprise Asset Registry</v>
      </c>
      <c r="I444" s="28" t="s">
        <v>71</v>
      </c>
      <c r="J444" s="28" t="s">
        <v>72</v>
      </c>
      <c r="K444" s="28"/>
      <c r="L444" s="50">
        <v>24970</v>
      </c>
      <c r="M444" s="48"/>
      <c r="N444" s="50">
        <v>24970</v>
      </c>
      <c r="O444" s="28"/>
      <c r="P444" s="37"/>
      <c r="Q444" s="28">
        <f>IF(OR(Table810[[#This Row],[Post-Review Decision]]="Include", Table810[[#This Row],[Post-Review Decision]]="Include if possible", Table810[[#This Row],[Post-Review Decision]]="Include (Omit % Avg if needed)",  Table810[[#This Row],[Post-Review Decision]]="Include (Omit % Avg)"),Table810[[#This Row],[EAR Total Capacity]],"")</f>
        <v>25500</v>
      </c>
      <c r="R444" s="28">
        <v>24970</v>
      </c>
      <c r="S444" s="46">
        <v>24970</v>
      </c>
      <c r="T444" s="28" t="s">
        <v>2039</v>
      </c>
      <c r="U444" s="28" t="s">
        <v>2040</v>
      </c>
      <c r="V444" s="13" t="s">
        <v>2041</v>
      </c>
      <c r="W444" s="12" t="b">
        <f>ISNUMBER(Table810[[#This Row],[EAR Total Capacity]])</f>
        <v>1</v>
      </c>
      <c r="X444" s="12" t="s">
        <v>75</v>
      </c>
      <c r="Y444" s="12" t="b">
        <f>IFERROR(IF(YEAR(Table810[[#This Row],[RISE Storage End Date]])=2025,TRUE,FALSE),FALSE)</f>
        <v>0</v>
      </c>
      <c r="Z444" s="11" t="b">
        <v>0</v>
      </c>
      <c r="AA444" s="13">
        <v>431</v>
      </c>
      <c r="AB444" s="13" t="s">
        <v>76</v>
      </c>
      <c r="AC444" s="13" t="s">
        <v>2042</v>
      </c>
      <c r="AD444" s="13" t="s">
        <v>2039</v>
      </c>
      <c r="AE444" s="13" t="s">
        <v>78</v>
      </c>
      <c r="AF444" s="13" t="s">
        <v>2043</v>
      </c>
      <c r="AG444" s="13" t="s">
        <v>80</v>
      </c>
      <c r="AH444" s="13" t="s">
        <v>81</v>
      </c>
      <c r="AI444" s="13" t="s">
        <v>93</v>
      </c>
      <c r="AJ444" s="19">
        <v>25500</v>
      </c>
      <c r="AK444" s="18"/>
      <c r="AL444" s="18"/>
      <c r="AM444" s="13" t="s">
        <v>2044</v>
      </c>
      <c r="AN444" s="13" t="s">
        <v>84</v>
      </c>
      <c r="AO444" s="13" t="s">
        <v>2039</v>
      </c>
      <c r="AP444" s="13" t="s">
        <v>2039</v>
      </c>
      <c r="AQ444" s="21" t="s">
        <v>64</v>
      </c>
      <c r="AR444" s="25"/>
      <c r="AS444" s="25"/>
      <c r="AT444" s="25"/>
      <c r="AU444" s="25"/>
      <c r="AV444" s="25"/>
      <c r="AW444" s="25"/>
      <c r="AX444" s="24"/>
    </row>
    <row r="445" spans="1:50" ht="16.5" customHeight="1">
      <c r="A445" s="36" t="s">
        <v>2045</v>
      </c>
      <c r="B445" s="28"/>
      <c r="C445" s="28" t="s">
        <v>97</v>
      </c>
      <c r="D445" s="28"/>
      <c r="E445" s="28"/>
      <c r="F445" s="28" t="s">
        <v>61</v>
      </c>
      <c r="G445" s="28"/>
      <c r="H445" s="28" t="str">
        <f>IF(ISNUMBER(Table810[[#This Row],[Total Capacity]]),"USBR Enterprise Asset Registry",IF(Table810[[#This Row],[Total Capacity]]="",""))</f>
        <v/>
      </c>
      <c r="I445" s="28"/>
      <c r="J445" s="28"/>
      <c r="K445" s="28"/>
      <c r="L445" s="50" t="s">
        <v>98</v>
      </c>
      <c r="M445" s="48"/>
      <c r="N445" s="50" t="s">
        <v>98</v>
      </c>
      <c r="O445" s="28"/>
      <c r="P445" s="37"/>
      <c r="Q445" s="28" t="str">
        <f>IF(OR(Table810[[#This Row],[Post-Review Decision]]="Include", Table810[[#This Row],[Post-Review Decision]]="Include if possible", Table810[[#This Row],[Post-Review Decision]]="Include (Omit % Avg if needed)",  Table810[[#This Row],[Post-Review Decision]]="Include (Omit % Avg)"),Table810[[#This Row],[EAR Total Capacity]],"")</f>
        <v/>
      </c>
      <c r="R445" s="28"/>
      <c r="S445" s="45">
        <v>0</v>
      </c>
      <c r="T445" s="28"/>
      <c r="U445" s="28"/>
      <c r="V445" s="13" t="s">
        <v>370</v>
      </c>
      <c r="W445" s="12" t="b">
        <f>ISNUMBER(Table810[[#This Row],[EAR Total Capacity]])</f>
        <v>0</v>
      </c>
      <c r="X445" s="12" t="b">
        <f>IF(Table810[[#This Row],[Has  Storage for Full Averaging Period?]]="OK",TRUE,FALSE)</f>
        <v>0</v>
      </c>
      <c r="Y445" s="12" t="b">
        <f>IFERROR(IF(YEAR(Table810[[#This Row],[RISE Storage End Date]])=2025,TRUE,FALSE),FALSE)</f>
        <v>0</v>
      </c>
      <c r="Z445" s="11" t="b">
        <v>0</v>
      </c>
      <c r="AA445" s="13">
        <v>432</v>
      </c>
      <c r="AB445" s="13" t="s">
        <v>76</v>
      </c>
      <c r="AC445" s="13" t="s">
        <v>2046</v>
      </c>
      <c r="AD445" s="13" t="s">
        <v>2045</v>
      </c>
      <c r="AE445" s="13" t="s">
        <v>78</v>
      </c>
      <c r="AF445" s="13" t="s">
        <v>2047</v>
      </c>
      <c r="AG445" s="13" t="s">
        <v>91</v>
      </c>
      <c r="AH445" s="13" t="s">
        <v>92</v>
      </c>
      <c r="AI445" s="13" t="s">
        <v>82</v>
      </c>
      <c r="AJ445" s="13"/>
      <c r="AK445" s="15"/>
      <c r="AL445" s="15"/>
      <c r="AM445" s="15" t="s">
        <v>61</v>
      </c>
      <c r="AN445" s="15" t="s">
        <v>61</v>
      </c>
      <c r="AO445" s="15" t="s">
        <v>61</v>
      </c>
      <c r="AP445" s="15" t="s">
        <v>61</v>
      </c>
      <c r="AQ445" s="21" t="s">
        <v>136</v>
      </c>
      <c r="AR445" s="25"/>
      <c r="AS445" s="25"/>
      <c r="AT445" s="25"/>
      <c r="AU445" s="25"/>
      <c r="AV445" s="25"/>
      <c r="AW445" s="25"/>
      <c r="AX445" s="24"/>
    </row>
    <row r="446" spans="1:50" ht="16.5" customHeight="1">
      <c r="A446" s="36" t="s">
        <v>2048</v>
      </c>
      <c r="B446" s="28" t="s">
        <v>68</v>
      </c>
      <c r="C446" s="28" t="s">
        <v>52</v>
      </c>
      <c r="D446" s="28" t="s">
        <v>2049</v>
      </c>
      <c r="E446" s="28" t="s">
        <v>2050</v>
      </c>
      <c r="F446" s="28" t="s">
        <v>61</v>
      </c>
      <c r="G446" s="28" t="s">
        <v>55</v>
      </c>
      <c r="H446" s="28" t="str">
        <f>IF(ISNUMBER(Table810[[#This Row],[Total Capacity]]),"USBR Enterprise Asset Registry",IF(Table810[[#This Row],[Total Capacity]]="",""))</f>
        <v>USBR Enterprise Asset Registry</v>
      </c>
      <c r="I446" s="28" t="s">
        <v>57</v>
      </c>
      <c r="J446" s="28"/>
      <c r="K446" s="28"/>
      <c r="L446" s="50">
        <v>735000</v>
      </c>
      <c r="M446" s="48"/>
      <c r="N446" s="50">
        <v>735000</v>
      </c>
      <c r="O446" s="28"/>
      <c r="P446" s="37" t="s">
        <v>2051</v>
      </c>
      <c r="Q446" s="28">
        <f>IF(OR(Table810[[#This Row],[Post-Review Decision]]="Include", Table810[[#This Row],[Post-Review Decision]]="Include if possible", Table810[[#This Row],[Post-Review Decision]]="Include (Omit % Avg if needed)",  Table810[[#This Row],[Post-Review Decision]]="Include (Omit % Avg)"),Table810[[#This Row],[EAR Total Capacity]],"")</f>
        <v>735000</v>
      </c>
      <c r="R446" s="28">
        <v>523700</v>
      </c>
      <c r="S446" s="46">
        <v>523700</v>
      </c>
      <c r="T446" s="28" t="s">
        <v>2052</v>
      </c>
      <c r="U446" s="28" t="s">
        <v>2053</v>
      </c>
      <c r="V446" s="13" t="s">
        <v>156</v>
      </c>
      <c r="W446" s="12" t="b">
        <f>ISNUMBER(Table810[[#This Row],[EAR Total Capacity]])</f>
        <v>1</v>
      </c>
      <c r="X446" s="12" t="b">
        <f>IF(Table810[[#This Row],[Has  Storage for Full Averaging Period?]]="OK",TRUE,FALSE)</f>
        <v>0</v>
      </c>
      <c r="Y446" s="12" t="b">
        <f>IFERROR(IF(YEAR(Table810[[#This Row],[RISE Storage End Date]])=2025,TRUE,FALSE),FALSE)</f>
        <v>0</v>
      </c>
      <c r="Z446" s="11" t="b">
        <v>0</v>
      </c>
      <c r="AA446" s="13">
        <v>433</v>
      </c>
      <c r="AB446" s="13" t="s">
        <v>76</v>
      </c>
      <c r="AC446" s="13" t="s">
        <v>2054</v>
      </c>
      <c r="AD446" s="13" t="s">
        <v>2048</v>
      </c>
      <c r="AE446" s="13" t="s">
        <v>78</v>
      </c>
      <c r="AF446" s="13" t="s">
        <v>2055</v>
      </c>
      <c r="AG446" s="13" t="s">
        <v>159</v>
      </c>
      <c r="AH446" s="13" t="s">
        <v>160</v>
      </c>
      <c r="AI446" s="13" t="s">
        <v>93</v>
      </c>
      <c r="AJ446" s="13">
        <v>735000</v>
      </c>
      <c r="AK446" s="15">
        <v>-121.8019</v>
      </c>
      <c r="AL446" s="15">
        <v>42.233899999999998</v>
      </c>
      <c r="AM446" s="15" t="s">
        <v>61</v>
      </c>
      <c r="AN446" s="15" t="s">
        <v>61</v>
      </c>
      <c r="AO446" s="15" t="s">
        <v>61</v>
      </c>
      <c r="AP446" s="15" t="s">
        <v>61</v>
      </c>
      <c r="AQ446" s="21" t="s">
        <v>136</v>
      </c>
      <c r="AR446" s="25"/>
      <c r="AS446" s="25"/>
      <c r="AT446" s="25"/>
      <c r="AU446" s="25"/>
      <c r="AV446" s="25"/>
      <c r="AW446" s="25"/>
      <c r="AX446" s="24"/>
    </row>
    <row r="447" spans="1:50" ht="16.5" customHeight="1">
      <c r="A447" s="36" t="s">
        <v>2056</v>
      </c>
      <c r="B447" s="28"/>
      <c r="C447" s="28" t="s">
        <v>97</v>
      </c>
      <c r="D447" s="28"/>
      <c r="E447" s="28"/>
      <c r="F447" s="28" t="s">
        <v>61</v>
      </c>
      <c r="G447" s="28"/>
      <c r="H447" s="28" t="str">
        <f>IF(ISNUMBER(Table810[[#This Row],[Total Capacity]]),"USBR Enterprise Asset Registry",IF(Table810[[#This Row],[Total Capacity]]="",""))</f>
        <v/>
      </c>
      <c r="I447" s="28"/>
      <c r="J447" s="28"/>
      <c r="K447" s="28"/>
      <c r="L447" s="50" t="s">
        <v>98</v>
      </c>
      <c r="M447" s="48"/>
      <c r="N447" s="50" t="s">
        <v>98</v>
      </c>
      <c r="O447" s="28"/>
      <c r="P447" s="37"/>
      <c r="Q447" s="28" t="str">
        <f>IF(OR(Table810[[#This Row],[Post-Review Decision]]="Include", Table810[[#This Row],[Post-Review Decision]]="Include if possible", Table810[[#This Row],[Post-Review Decision]]="Include (Omit % Avg if needed)",  Table810[[#This Row],[Post-Review Decision]]="Include (Omit % Avg)"),Table810[[#This Row],[EAR Total Capacity]],"")</f>
        <v/>
      </c>
      <c r="R447" s="28"/>
      <c r="S447" s="45">
        <v>0</v>
      </c>
      <c r="T447" s="28"/>
      <c r="U447" s="28"/>
      <c r="V447" s="13" t="s">
        <v>2057</v>
      </c>
      <c r="W447" s="12" t="b">
        <f>ISNUMBER(Table810[[#This Row],[EAR Total Capacity]])</f>
        <v>0</v>
      </c>
      <c r="X447" s="12" t="b">
        <f>IF(Table810[[#This Row],[Has  Storage for Full Averaging Period?]]="OK",TRUE,FALSE)</f>
        <v>0</v>
      </c>
      <c r="Y447" s="12" t="b">
        <f>IFERROR(IF(YEAR(Table810[[#This Row],[RISE Storage End Date]])=2025,TRUE,FALSE),FALSE)</f>
        <v>0</v>
      </c>
      <c r="Z447" s="11" t="b">
        <v>0</v>
      </c>
      <c r="AA447" s="13">
        <v>434</v>
      </c>
      <c r="AB447" s="13" t="s">
        <v>76</v>
      </c>
      <c r="AC447" s="13" t="s">
        <v>2058</v>
      </c>
      <c r="AD447" s="13" t="s">
        <v>2056</v>
      </c>
      <c r="AE447" s="13" t="s">
        <v>101</v>
      </c>
      <c r="AF447" s="13" t="s">
        <v>2059</v>
      </c>
      <c r="AG447" s="13" t="s">
        <v>159</v>
      </c>
      <c r="AH447" s="13" t="s">
        <v>160</v>
      </c>
      <c r="AI447" s="13" t="s">
        <v>103</v>
      </c>
      <c r="AJ447" s="13"/>
      <c r="AK447" s="15"/>
      <c r="AL447" s="15"/>
      <c r="AM447" s="15" t="s">
        <v>61</v>
      </c>
      <c r="AN447" s="15" t="s">
        <v>61</v>
      </c>
      <c r="AO447" s="15" t="s">
        <v>61</v>
      </c>
      <c r="AP447" s="15" t="s">
        <v>61</v>
      </c>
      <c r="AQ447" s="22"/>
      <c r="AR447" s="25"/>
      <c r="AS447" s="25"/>
      <c r="AT447" s="25"/>
      <c r="AU447" s="25"/>
      <c r="AV447" s="25"/>
      <c r="AW447" s="25"/>
      <c r="AX447" s="24"/>
    </row>
    <row r="448" spans="1:50" ht="16.5" customHeight="1">
      <c r="A448" s="36" t="s">
        <v>2060</v>
      </c>
      <c r="B448" s="28" t="s">
        <v>68</v>
      </c>
      <c r="C448" s="28" t="s">
        <v>86</v>
      </c>
      <c r="D448" s="28"/>
      <c r="E448" s="28" t="s">
        <v>70</v>
      </c>
      <c r="F448" s="28">
        <v>500</v>
      </c>
      <c r="G448" s="28">
        <v>3</v>
      </c>
      <c r="H448" s="28" t="str">
        <f>IF(ISNUMBER(Table810[[#This Row],[Total Capacity]]),"USBR Enterprise Asset Registry",IF(Table810[[#This Row],[Total Capacity]]="",""))</f>
        <v>USBR Enterprise Asset Registry</v>
      </c>
      <c r="I448" s="28" t="s">
        <v>257</v>
      </c>
      <c r="J448" s="28" t="s">
        <v>72</v>
      </c>
      <c r="K448" s="28"/>
      <c r="L448" s="50">
        <v>31382</v>
      </c>
      <c r="M448" s="48"/>
      <c r="N448" s="50">
        <v>31382</v>
      </c>
      <c r="O448" s="28"/>
      <c r="P448" s="37"/>
      <c r="Q448" s="28">
        <f>IF(OR(Table810[[#This Row],[Post-Review Decision]]="Include", Table810[[#This Row],[Post-Review Decision]]="Include if possible", Table810[[#This Row],[Post-Review Decision]]="Include (Omit % Avg if needed)",  Table810[[#This Row],[Post-Review Decision]]="Include (Omit % Avg)"),Table810[[#This Row],[EAR Total Capacity]],"")</f>
        <v>32009</v>
      </c>
      <c r="R448" s="28">
        <v>29884</v>
      </c>
      <c r="S448" s="46">
        <v>31382</v>
      </c>
      <c r="T448" s="28" t="s">
        <v>2060</v>
      </c>
      <c r="U448" s="28" t="s">
        <v>2061</v>
      </c>
      <c r="V448" s="13" t="s">
        <v>606</v>
      </c>
      <c r="W448" s="12" t="b">
        <f>ISNUMBER(Table810[[#This Row],[EAR Total Capacity]])</f>
        <v>1</v>
      </c>
      <c r="X448" s="12" t="b">
        <f>IF(Table810[[#This Row],[Has  Storage for Full Averaging Period?]]="OK",TRUE,FALSE)</f>
        <v>1</v>
      </c>
      <c r="Y448" s="12" t="b">
        <f>IFERROR(IF(YEAR(Table810[[#This Row],[RISE Storage End Date]])=2025,TRUE,FALSE),FALSE)</f>
        <v>1</v>
      </c>
      <c r="Z448" s="11" t="b">
        <v>0</v>
      </c>
      <c r="AA448" s="13">
        <v>435</v>
      </c>
      <c r="AB448" s="13" t="s">
        <v>76</v>
      </c>
      <c r="AC448" s="13" t="s">
        <v>2062</v>
      </c>
      <c r="AD448" s="13" t="s">
        <v>2060</v>
      </c>
      <c r="AE448" s="13" t="s">
        <v>78</v>
      </c>
      <c r="AF448" s="13" t="s">
        <v>2063</v>
      </c>
      <c r="AG448" s="13" t="s">
        <v>91</v>
      </c>
      <c r="AH448" s="13" t="s">
        <v>102</v>
      </c>
      <c r="AI448" s="13" t="s">
        <v>93</v>
      </c>
      <c r="AJ448" s="13">
        <v>32009</v>
      </c>
      <c r="AK448" s="18"/>
      <c r="AL448" s="18"/>
      <c r="AM448" s="13" t="s">
        <v>2064</v>
      </c>
      <c r="AN448" s="13" t="s">
        <v>63</v>
      </c>
      <c r="AO448" s="13" t="s">
        <v>2060</v>
      </c>
      <c r="AP448" s="13" t="s">
        <v>2060</v>
      </c>
      <c r="AQ448" s="21" t="s">
        <v>64</v>
      </c>
      <c r="AR448" s="26">
        <v>32691</v>
      </c>
      <c r="AS448" s="26">
        <v>46006</v>
      </c>
      <c r="AT448" s="25">
        <v>13317</v>
      </c>
      <c r="AU448" s="25" t="s">
        <v>65</v>
      </c>
      <c r="AV448" s="25" t="s">
        <v>65</v>
      </c>
      <c r="AW448" s="25" t="s">
        <v>65</v>
      </c>
      <c r="AX448" s="24"/>
    </row>
    <row r="449" spans="1:50" ht="16.5" customHeight="1">
      <c r="A449" s="36" t="s">
        <v>2065</v>
      </c>
      <c r="B449" s="55" t="s">
        <v>2066</v>
      </c>
      <c r="C449" s="31" t="s">
        <v>52</v>
      </c>
      <c r="D449" s="28" t="s">
        <v>125</v>
      </c>
      <c r="E449" s="28" t="s">
        <v>126</v>
      </c>
      <c r="F449" s="28">
        <v>3206</v>
      </c>
      <c r="G449" s="28">
        <v>3</v>
      </c>
      <c r="H449" s="28" t="s">
        <v>284</v>
      </c>
      <c r="I449" s="28" t="s">
        <v>57</v>
      </c>
      <c r="J449" s="28" t="s">
        <v>72</v>
      </c>
      <c r="K449" s="28"/>
      <c r="L449" s="50" t="e">
        <v>#VALUE!</v>
      </c>
      <c r="M449" s="48">
        <v>870000</v>
      </c>
      <c r="N449" s="50">
        <v>870000</v>
      </c>
      <c r="O449" s="28"/>
      <c r="P449" s="40" t="s">
        <v>2067</v>
      </c>
      <c r="Q449" s="28" t="str">
        <f>IF(OR(Table810[[#This Row],[Post-Review Decision]]="Include", Table810[[#This Row],[Post-Review Decision]]="Include if possible", Table810[[#This Row],[Post-Review Decision]]="Include (Omit % Avg if needed)",  Table810[[#This Row],[Post-Review Decision]]="Include (Omit % Avg)"),Table810[[#This Row],[EAR Total Capacity]],"")</f>
        <v>--</v>
      </c>
      <c r="R449" s="28"/>
      <c r="S449" s="45" t="s">
        <v>59</v>
      </c>
      <c r="T449" s="28" t="s">
        <v>2068</v>
      </c>
      <c r="U449" s="28" t="s">
        <v>2068</v>
      </c>
      <c r="V449" s="17" t="s">
        <v>61</v>
      </c>
      <c r="W449" s="12" t="b">
        <f>ISNUMBER(Table810[[#This Row],[EAR Total Capacity]])</f>
        <v>0</v>
      </c>
      <c r="X449" s="12" t="b">
        <f>IF(Table810[[#This Row],[Has  Storage for Full Averaging Period?]]="OK",TRUE,FALSE)</f>
        <v>0</v>
      </c>
      <c r="Y449" s="12" t="b">
        <f>IFERROR(IF(YEAR(Table810[[#This Row],[RISE Storage End Date]])=2025,TRUE,FALSE),FALSE)</f>
        <v>0</v>
      </c>
      <c r="Z449" s="11" t="b">
        <v>0</v>
      </c>
      <c r="AA449" s="16" t="s">
        <v>61</v>
      </c>
      <c r="AB449" s="17" t="s">
        <v>61</v>
      </c>
      <c r="AC449" s="17" t="s">
        <v>61</v>
      </c>
      <c r="AD449" s="17" t="s">
        <v>61</v>
      </c>
      <c r="AE449" s="17" t="s">
        <v>61</v>
      </c>
      <c r="AF449" s="17" t="s">
        <v>61</v>
      </c>
      <c r="AG449" s="17" t="s">
        <v>61</v>
      </c>
      <c r="AH449" s="17" t="s">
        <v>61</v>
      </c>
      <c r="AI449" s="17" t="s">
        <v>61</v>
      </c>
      <c r="AJ449" s="17" t="s">
        <v>61</v>
      </c>
      <c r="AK449" s="18"/>
      <c r="AL449" s="18"/>
      <c r="AM449" s="13" t="s">
        <v>2069</v>
      </c>
      <c r="AN449" s="11" t="s">
        <v>63</v>
      </c>
      <c r="AO449" s="11" t="s">
        <v>2065</v>
      </c>
      <c r="AP449" s="11" t="e">
        <v>#N/A</v>
      </c>
      <c r="AQ449" s="21" t="s">
        <v>64</v>
      </c>
      <c r="AR449" s="26">
        <v>11689</v>
      </c>
      <c r="AS449" s="26">
        <v>43996</v>
      </c>
      <c r="AT449" s="25">
        <v>32308</v>
      </c>
      <c r="AU449" s="25" t="s">
        <v>65</v>
      </c>
      <c r="AV449" s="25" t="s">
        <v>66</v>
      </c>
      <c r="AW449" s="25" t="s">
        <v>66</v>
      </c>
      <c r="AX449" s="23"/>
    </row>
    <row r="450" spans="1:50" ht="16.5" customHeight="1">
      <c r="A450" s="36" t="s">
        <v>2070</v>
      </c>
      <c r="B450" s="28"/>
      <c r="C450" s="28" t="s">
        <v>97</v>
      </c>
      <c r="D450" s="28"/>
      <c r="E450" s="28"/>
      <c r="F450" s="28">
        <v>3714</v>
      </c>
      <c r="G450" s="28"/>
      <c r="H450" s="28" t="str">
        <f>IF(ISNUMBER(Table810[[#This Row],[Total Capacity]]),"USBR Enterprise Asset Registry",IF(Table810[[#This Row],[Total Capacity]]="",""))</f>
        <v/>
      </c>
      <c r="I450" s="28"/>
      <c r="J450" s="28"/>
      <c r="K450" s="28"/>
      <c r="L450" s="50" t="s">
        <v>98</v>
      </c>
      <c r="M450" s="48"/>
      <c r="N450" s="50" t="s">
        <v>98</v>
      </c>
      <c r="O450" s="28"/>
      <c r="P450" s="37"/>
      <c r="Q450" s="28" t="str">
        <f>IF(OR(Table810[[#This Row],[Post-Review Decision]]="Include", Table810[[#This Row],[Post-Review Decision]]="Include if possible", Table810[[#This Row],[Post-Review Decision]]="Include (Omit % Avg if needed)",  Table810[[#This Row],[Post-Review Decision]]="Include (Omit % Avg)"),Table810[[#This Row],[EAR Total Capacity]],"")</f>
        <v/>
      </c>
      <c r="R450" s="28"/>
      <c r="S450" s="45" t="s">
        <v>59</v>
      </c>
      <c r="T450" s="28"/>
      <c r="U450" s="28"/>
      <c r="V450" s="17" t="s">
        <v>61</v>
      </c>
      <c r="W450" s="12" t="b">
        <f>ISNUMBER(Table810[[#This Row],[EAR Total Capacity]])</f>
        <v>0</v>
      </c>
      <c r="X450" s="12" t="b">
        <f>IF(Table810[[#This Row],[Has  Storage for Full Averaging Period?]]="OK",TRUE,FALSE)</f>
        <v>0</v>
      </c>
      <c r="Y450" s="12" t="b">
        <f>IFERROR(IF(YEAR(Table810[[#This Row],[RISE Storage End Date]])=2025,TRUE,FALSE),FALSE)</f>
        <v>0</v>
      </c>
      <c r="Z450" s="11" t="b">
        <v>0</v>
      </c>
      <c r="AA450" s="16" t="s">
        <v>61</v>
      </c>
      <c r="AB450" s="17" t="s">
        <v>61</v>
      </c>
      <c r="AC450" s="17" t="s">
        <v>61</v>
      </c>
      <c r="AD450" s="17" t="s">
        <v>61</v>
      </c>
      <c r="AE450" s="17" t="s">
        <v>61</v>
      </c>
      <c r="AF450" s="17" t="s">
        <v>61</v>
      </c>
      <c r="AG450" s="17" t="s">
        <v>61</v>
      </c>
      <c r="AH450" s="17" t="s">
        <v>61</v>
      </c>
      <c r="AI450" s="17" t="s">
        <v>61</v>
      </c>
      <c r="AJ450" s="17" t="s">
        <v>61</v>
      </c>
      <c r="AK450" s="18"/>
      <c r="AL450" s="18"/>
      <c r="AM450" s="13" t="s">
        <v>2071</v>
      </c>
      <c r="AN450" s="11" t="s">
        <v>183</v>
      </c>
      <c r="AO450" s="11" t="s">
        <v>2070</v>
      </c>
      <c r="AP450" s="11" t="s">
        <v>2070</v>
      </c>
      <c r="AQ450" s="21" t="s">
        <v>136</v>
      </c>
      <c r="AR450" s="25"/>
      <c r="AS450" s="25"/>
      <c r="AT450" s="25"/>
      <c r="AU450" s="25"/>
      <c r="AV450" s="25"/>
      <c r="AW450" s="25"/>
      <c r="AX450" s="23"/>
    </row>
    <row r="451" spans="1:50" ht="16.5" customHeight="1">
      <c r="A451" s="36" t="s">
        <v>2072</v>
      </c>
      <c r="B451" s="28" t="s">
        <v>68</v>
      </c>
      <c r="C451" s="28" t="s">
        <v>86</v>
      </c>
      <c r="D451" s="28"/>
      <c r="E451" s="28" t="s">
        <v>70</v>
      </c>
      <c r="F451" s="28">
        <v>501</v>
      </c>
      <c r="G451" s="28">
        <v>3</v>
      </c>
      <c r="H451" s="28" t="str">
        <f>IF(ISNUMBER(Table810[[#This Row],[Total Capacity]]),"USBR Enterprise Asset Registry",IF(Table810[[#This Row],[Total Capacity]]="",""))</f>
        <v>USBR Enterprise Asset Registry</v>
      </c>
      <c r="I451" s="28" t="s">
        <v>57</v>
      </c>
      <c r="J451" s="28" t="s">
        <v>72</v>
      </c>
      <c r="K451" s="28"/>
      <c r="L451" s="50">
        <v>129678</v>
      </c>
      <c r="M451" s="48"/>
      <c r="N451" s="50">
        <v>129678</v>
      </c>
      <c r="O451" s="28"/>
      <c r="P451" s="37"/>
      <c r="Q451" s="28">
        <f>IF(OR(Table810[[#This Row],[Post-Review Decision]]="Include", Table810[[#This Row],[Post-Review Decision]]="Include if possible", Table810[[#This Row],[Post-Review Decision]]="Include (Omit % Avg if needed)",  Table810[[#This Row],[Post-Review Decision]]="Include (Omit % Avg)"),Table810[[#This Row],[EAR Total Capacity]],"")</f>
        <v>129700</v>
      </c>
      <c r="R451" s="28">
        <v>125400</v>
      </c>
      <c r="S451" s="46">
        <v>125400</v>
      </c>
      <c r="T451" s="28" t="s">
        <v>2072</v>
      </c>
      <c r="U451" s="28" t="s">
        <v>2073</v>
      </c>
      <c r="V451" s="13" t="s">
        <v>2074</v>
      </c>
      <c r="W451" s="12" t="b">
        <f>ISNUMBER(Table810[[#This Row],[EAR Total Capacity]])</f>
        <v>1</v>
      </c>
      <c r="X451" s="12" t="b">
        <f>IF(Table810[[#This Row],[Has  Storage for Full Averaging Period?]]="OK",TRUE,FALSE)</f>
        <v>1</v>
      </c>
      <c r="Y451" s="12" t="b">
        <f>IFERROR(IF(YEAR(Table810[[#This Row],[RISE Storage End Date]])=2025,TRUE,FALSE),FALSE)</f>
        <v>1</v>
      </c>
      <c r="Z451" s="11" t="b">
        <v>0</v>
      </c>
      <c r="AA451" s="13">
        <v>436</v>
      </c>
      <c r="AB451" s="13" t="s">
        <v>76</v>
      </c>
      <c r="AC451" s="13" t="s">
        <v>2075</v>
      </c>
      <c r="AD451" s="13" t="s">
        <v>2072</v>
      </c>
      <c r="AE451" s="13" t="s">
        <v>78</v>
      </c>
      <c r="AF451" s="13" t="s">
        <v>2076</v>
      </c>
      <c r="AG451" s="13" t="s">
        <v>91</v>
      </c>
      <c r="AH451" s="13" t="s">
        <v>102</v>
      </c>
      <c r="AI451" s="13" t="s">
        <v>93</v>
      </c>
      <c r="AJ451" s="13">
        <v>129700</v>
      </c>
      <c r="AK451" s="18"/>
      <c r="AL451" s="18"/>
      <c r="AM451" s="13" t="s">
        <v>2077</v>
      </c>
      <c r="AN451" s="13" t="s">
        <v>63</v>
      </c>
      <c r="AO451" s="13" t="s">
        <v>2072</v>
      </c>
      <c r="AP451" s="13" t="s">
        <v>2072</v>
      </c>
      <c r="AQ451" s="21" t="s">
        <v>64</v>
      </c>
      <c r="AR451" s="26">
        <v>15099</v>
      </c>
      <c r="AS451" s="26">
        <v>46007</v>
      </c>
      <c r="AT451" s="25">
        <v>30910</v>
      </c>
      <c r="AU451" s="25" t="s">
        <v>65</v>
      </c>
      <c r="AV451" s="25" t="s">
        <v>65</v>
      </c>
      <c r="AW451" s="25" t="s">
        <v>65</v>
      </c>
      <c r="AX451" s="24"/>
    </row>
    <row r="452" spans="1:50" ht="16.5" customHeight="1">
      <c r="A452" s="36" t="s">
        <v>2078</v>
      </c>
      <c r="B452" s="28"/>
      <c r="C452" s="28" t="s">
        <v>97</v>
      </c>
      <c r="D452" s="28"/>
      <c r="E452" s="28"/>
      <c r="F452" s="28" t="s">
        <v>61</v>
      </c>
      <c r="G452" s="28"/>
      <c r="H452" s="28" t="str">
        <f>IF(ISNUMBER(Table810[[#This Row],[Total Capacity]]),"USBR Enterprise Asset Registry",IF(Table810[[#This Row],[Total Capacity]]="",""))</f>
        <v/>
      </c>
      <c r="I452" s="28"/>
      <c r="J452" s="28"/>
      <c r="K452" s="28"/>
      <c r="L452" s="50" t="s">
        <v>98</v>
      </c>
      <c r="M452" s="48"/>
      <c r="N452" s="50" t="s">
        <v>98</v>
      </c>
      <c r="O452" s="28"/>
      <c r="P452" s="37"/>
      <c r="Q452" s="28" t="str">
        <f>IF(OR(Table810[[#This Row],[Post-Review Decision]]="Include", Table810[[#This Row],[Post-Review Decision]]="Include if possible", Table810[[#This Row],[Post-Review Decision]]="Include (Omit % Avg if needed)",  Table810[[#This Row],[Post-Review Decision]]="Include (Omit % Avg)"),Table810[[#This Row],[EAR Total Capacity]],"")</f>
        <v/>
      </c>
      <c r="R452" s="28"/>
      <c r="S452" s="45">
        <v>0</v>
      </c>
      <c r="T452" s="28"/>
      <c r="U452" s="28"/>
      <c r="V452" s="13" t="s">
        <v>656</v>
      </c>
      <c r="W452" s="12" t="b">
        <f>ISNUMBER(Table810[[#This Row],[EAR Total Capacity]])</f>
        <v>0</v>
      </c>
      <c r="X452" s="12" t="b">
        <f>IF(Table810[[#This Row],[Has  Storage for Full Averaging Period?]]="OK",TRUE,FALSE)</f>
        <v>0</v>
      </c>
      <c r="Y452" s="12" t="b">
        <f>IFERROR(IF(YEAR(Table810[[#This Row],[RISE Storage End Date]])=2025,TRUE,FALSE),FALSE)</f>
        <v>0</v>
      </c>
      <c r="Z452" s="11" t="b">
        <v>0</v>
      </c>
      <c r="AA452" s="13">
        <v>437</v>
      </c>
      <c r="AB452" s="13" t="s">
        <v>76</v>
      </c>
      <c r="AC452" s="13" t="s">
        <v>2079</v>
      </c>
      <c r="AD452" s="13" t="s">
        <v>2078</v>
      </c>
      <c r="AE452" s="13" t="s">
        <v>78</v>
      </c>
      <c r="AF452" s="13" t="s">
        <v>2080</v>
      </c>
      <c r="AG452" s="13" t="s">
        <v>109</v>
      </c>
      <c r="AH452" s="13" t="s">
        <v>92</v>
      </c>
      <c r="AI452" s="13" t="s">
        <v>103</v>
      </c>
      <c r="AJ452" s="13"/>
      <c r="AK452" s="15"/>
      <c r="AL452" s="15"/>
      <c r="AM452" s="15" t="s">
        <v>61</v>
      </c>
      <c r="AN452" s="15" t="s">
        <v>61</v>
      </c>
      <c r="AO452" s="15" t="s">
        <v>61</v>
      </c>
      <c r="AP452" s="15" t="s">
        <v>61</v>
      </c>
      <c r="AQ452" s="21" t="s">
        <v>136</v>
      </c>
      <c r="AR452" s="25"/>
      <c r="AS452" s="25"/>
      <c r="AT452" s="25"/>
      <c r="AU452" s="25"/>
      <c r="AV452" s="25"/>
      <c r="AW452" s="25"/>
      <c r="AX452" s="24"/>
    </row>
    <row r="453" spans="1:50" ht="16.5" customHeight="1">
      <c r="A453" s="36" t="s">
        <v>2081</v>
      </c>
      <c r="B453" s="28"/>
      <c r="C453" s="28" t="s">
        <v>97</v>
      </c>
      <c r="D453" s="28"/>
      <c r="E453" s="28"/>
      <c r="F453" s="28" t="s">
        <v>61</v>
      </c>
      <c r="G453" s="28"/>
      <c r="H453" s="28" t="str">
        <f>IF(ISNUMBER(Table810[[#This Row],[Total Capacity]]),"USBR Enterprise Asset Registry",IF(Table810[[#This Row],[Total Capacity]]="",""))</f>
        <v/>
      </c>
      <c r="I453" s="28"/>
      <c r="J453" s="28"/>
      <c r="K453" s="28"/>
      <c r="L453" s="50" t="s">
        <v>98</v>
      </c>
      <c r="M453" s="48"/>
      <c r="N453" s="50" t="s">
        <v>98</v>
      </c>
      <c r="O453" s="28"/>
      <c r="P453" s="37"/>
      <c r="Q453" s="28" t="str">
        <f>IF(OR(Table810[[#This Row],[Post-Review Decision]]="Include", Table810[[#This Row],[Post-Review Decision]]="Include if possible", Table810[[#This Row],[Post-Review Decision]]="Include (Omit % Avg if needed)",  Table810[[#This Row],[Post-Review Decision]]="Include (Omit % Avg)"),Table810[[#This Row],[EAR Total Capacity]],"")</f>
        <v/>
      </c>
      <c r="R453" s="28"/>
      <c r="S453" s="45">
        <v>0</v>
      </c>
      <c r="T453" s="28"/>
      <c r="U453" s="28"/>
      <c r="V453" s="13" t="s">
        <v>606</v>
      </c>
      <c r="W453" s="12" t="b">
        <f>ISNUMBER(Table810[[#This Row],[EAR Total Capacity]])</f>
        <v>1</v>
      </c>
      <c r="X453" s="12" t="b">
        <f>IF(Table810[[#This Row],[Has  Storage for Full Averaging Period?]]="OK",TRUE,FALSE)</f>
        <v>0</v>
      </c>
      <c r="Y453" s="12" t="b">
        <f>IFERROR(IF(YEAR(Table810[[#This Row],[RISE Storage End Date]])=2025,TRUE,FALSE),FALSE)</f>
        <v>0</v>
      </c>
      <c r="Z453" s="11" t="b">
        <v>0</v>
      </c>
      <c r="AA453" s="13">
        <v>438</v>
      </c>
      <c r="AB453" s="13" t="s">
        <v>76</v>
      </c>
      <c r="AC453" s="13" t="s">
        <v>2082</v>
      </c>
      <c r="AD453" s="13" t="s">
        <v>2081</v>
      </c>
      <c r="AE453" s="13" t="s">
        <v>101</v>
      </c>
      <c r="AF453" s="13" t="s">
        <v>2083</v>
      </c>
      <c r="AG453" s="13" t="s">
        <v>91</v>
      </c>
      <c r="AH453" s="13" t="s">
        <v>102</v>
      </c>
      <c r="AI453" s="13" t="s">
        <v>103</v>
      </c>
      <c r="AJ453" s="13">
        <v>36</v>
      </c>
      <c r="AK453" s="15"/>
      <c r="AL453" s="15"/>
      <c r="AM453" s="15" t="s">
        <v>61</v>
      </c>
      <c r="AN453" s="15" t="s">
        <v>61</v>
      </c>
      <c r="AO453" s="15" t="s">
        <v>61</v>
      </c>
      <c r="AP453" s="15" t="s">
        <v>61</v>
      </c>
      <c r="AQ453" s="22"/>
      <c r="AR453" s="25"/>
      <c r="AS453" s="25"/>
      <c r="AT453" s="25"/>
      <c r="AU453" s="25"/>
      <c r="AV453" s="25"/>
      <c r="AW453" s="25"/>
      <c r="AX453" s="24"/>
    </row>
    <row r="454" spans="1:50" s="20" customFormat="1" ht="16.5" customHeight="1">
      <c r="A454" s="36" t="s">
        <v>2084</v>
      </c>
      <c r="B454" s="28" t="s">
        <v>68</v>
      </c>
      <c r="C454" s="31" t="s">
        <v>52</v>
      </c>
      <c r="D454" s="28" t="s">
        <v>125</v>
      </c>
      <c r="E454" s="28" t="s">
        <v>126</v>
      </c>
      <c r="F454" s="28">
        <v>7327</v>
      </c>
      <c r="G454" s="28">
        <v>3</v>
      </c>
      <c r="H454" s="28" t="str">
        <f>IF(ISNUMBER(Table810[[#This Row],[Total Capacity]]),"USBR Enterprise Asset Registry",IF(Table810[[#This Row],[Total Capacity]]="",""))</f>
        <v>USBR Enterprise Asset Registry</v>
      </c>
      <c r="I454" s="28" t="s">
        <v>57</v>
      </c>
      <c r="J454" s="28" t="s">
        <v>72</v>
      </c>
      <c r="K454" s="28"/>
      <c r="L454" s="50">
        <v>33800</v>
      </c>
      <c r="M454" s="48"/>
      <c r="N454" s="50">
        <v>33800</v>
      </c>
      <c r="O454" s="28"/>
      <c r="P454" s="40" t="s">
        <v>2085</v>
      </c>
      <c r="Q454" s="28">
        <f>IF(OR(Table810[[#This Row],[Post-Review Decision]]="Include", Table810[[#This Row],[Post-Review Decision]]="Include if possible", Table810[[#This Row],[Post-Review Decision]]="Include (Omit % Avg if needed)",  Table810[[#This Row],[Post-Review Decision]]="Include (Omit % Avg)"),Table810[[#This Row],[EAR Total Capacity]],"")</f>
        <v>33800</v>
      </c>
      <c r="R454" s="28">
        <v>32980</v>
      </c>
      <c r="S454" s="46">
        <v>32980</v>
      </c>
      <c r="T454" s="28" t="s">
        <v>2084</v>
      </c>
      <c r="U454" s="28" t="s">
        <v>2086</v>
      </c>
      <c r="V454" s="13" t="s">
        <v>193</v>
      </c>
      <c r="W454" s="12" t="b">
        <f>ISNUMBER(Table810[[#This Row],[EAR Total Capacity]])</f>
        <v>1</v>
      </c>
      <c r="X454" s="12" t="b">
        <f>IF(Table810[[#This Row],[Has  Storage for Full Averaging Period?]]="OK",TRUE,FALSE)</f>
        <v>0</v>
      </c>
      <c r="Y454" s="12" t="b">
        <f>IFERROR(IF(YEAR(Table810[[#This Row],[RISE Storage End Date]])=2025,TRUE,FALSE),FALSE)</f>
        <v>0</v>
      </c>
      <c r="Z454" s="11" t="b">
        <v>0</v>
      </c>
      <c r="AA454" s="13">
        <v>439</v>
      </c>
      <c r="AB454" s="13" t="s">
        <v>76</v>
      </c>
      <c r="AC454" s="13" t="s">
        <v>2087</v>
      </c>
      <c r="AD454" s="13" t="s">
        <v>2084</v>
      </c>
      <c r="AE454" s="13" t="s">
        <v>78</v>
      </c>
      <c r="AF454" s="13" t="s">
        <v>2088</v>
      </c>
      <c r="AG454" s="13" t="s">
        <v>91</v>
      </c>
      <c r="AH454" s="13" t="s">
        <v>102</v>
      </c>
      <c r="AI454" s="13" t="s">
        <v>93</v>
      </c>
      <c r="AJ454" s="13">
        <v>33800</v>
      </c>
      <c r="AK454" s="15">
        <v>-107.8108</v>
      </c>
      <c r="AL454" s="15">
        <v>39.224299999999999</v>
      </c>
      <c r="AM454" s="15" t="s">
        <v>61</v>
      </c>
      <c r="AN454" s="15" t="s">
        <v>61</v>
      </c>
      <c r="AO454" s="15" t="s">
        <v>61</v>
      </c>
      <c r="AP454" s="15" t="s">
        <v>61</v>
      </c>
      <c r="AQ454" s="21" t="s">
        <v>136</v>
      </c>
      <c r="AR454" s="25"/>
      <c r="AS454" s="25"/>
      <c r="AT454" s="25"/>
      <c r="AU454" s="25"/>
      <c r="AV454" s="25"/>
      <c r="AW454" s="25"/>
      <c r="AX454" s="24"/>
    </row>
    <row r="455" spans="1:50" ht="16.5" customHeight="1">
      <c r="A455" s="36" t="s">
        <v>2089</v>
      </c>
      <c r="B455" s="28" t="s">
        <v>68</v>
      </c>
      <c r="C455" s="29" t="s">
        <v>86</v>
      </c>
      <c r="D455" s="29"/>
      <c r="E455" s="28" t="s">
        <v>70</v>
      </c>
      <c r="F455" s="28">
        <v>504</v>
      </c>
      <c r="G455" s="28">
        <v>3</v>
      </c>
      <c r="H455" s="29" t="str">
        <f>IF(ISNUMBER(Table810[[#This Row],[Total Capacity]]),"USBR Enterprise Asset Registry",IF(Table810[[#This Row],[Total Capacity]]="",""))</f>
        <v>USBR Enterprise Asset Registry</v>
      </c>
      <c r="I455" s="28" t="s">
        <v>57</v>
      </c>
      <c r="J455" s="28" t="s">
        <v>127</v>
      </c>
      <c r="K455" s="33">
        <v>722988</v>
      </c>
      <c r="L455" s="50">
        <v>219420</v>
      </c>
      <c r="M455" s="48"/>
      <c r="N455" s="50">
        <v>219420</v>
      </c>
      <c r="O455" s="28"/>
      <c r="P455" s="38" t="s">
        <v>2090</v>
      </c>
      <c r="Q455" s="29">
        <f>IF(OR(Table810[[#This Row],[Post-Review Decision]]="Include", Table810[[#This Row],[Post-Review Decision]]="Include if possible", Table810[[#This Row],[Post-Review Decision]]="Include (Omit % Avg if needed)",  Table810[[#This Row],[Post-Review Decision]]="Include (Omit % Avg)"),Table810[[#This Row],[EAR Total Capacity]],"")</f>
        <v>942408</v>
      </c>
      <c r="R455" s="29">
        <v>916171</v>
      </c>
      <c r="S455" s="46">
        <v>942160</v>
      </c>
      <c r="T455" s="29" t="s">
        <v>2091</v>
      </c>
      <c r="U455" s="29" t="s">
        <v>2092</v>
      </c>
      <c r="V455" s="13" t="s">
        <v>2093</v>
      </c>
      <c r="W455" s="12" t="b">
        <f>ISNUMBER(Table810[[#This Row],[EAR Total Capacity]])</f>
        <v>1</v>
      </c>
      <c r="X455" s="12" t="b">
        <f>IF(Table810[[#This Row],[Has  Storage for Full Averaging Period?]]="OK",TRUE,FALSE)</f>
        <v>1</v>
      </c>
      <c r="Y455" s="12" t="b">
        <f>IFERROR(IF(YEAR(Table810[[#This Row],[RISE Storage End Date]])=2025,TRUE,FALSE),FALSE)</f>
        <v>1</v>
      </c>
      <c r="Z455" s="11" t="b">
        <v>0</v>
      </c>
      <c r="AA455" s="13">
        <v>440</v>
      </c>
      <c r="AB455" s="13" t="s">
        <v>76</v>
      </c>
      <c r="AC455" s="13" t="s">
        <v>2094</v>
      </c>
      <c r="AD455" s="13" t="s">
        <v>2089</v>
      </c>
      <c r="AE455" s="13" t="s">
        <v>78</v>
      </c>
      <c r="AF455" s="13" t="s">
        <v>2095</v>
      </c>
      <c r="AG455" s="13" t="s">
        <v>109</v>
      </c>
      <c r="AH455" s="13" t="s">
        <v>92</v>
      </c>
      <c r="AI455" s="13" t="s">
        <v>93</v>
      </c>
      <c r="AJ455" s="13">
        <v>942408</v>
      </c>
      <c r="AK455" s="18"/>
      <c r="AL455" s="18"/>
      <c r="AM455" s="13" t="s">
        <v>2096</v>
      </c>
      <c r="AN455" s="13" t="s">
        <v>95</v>
      </c>
      <c r="AO455" s="13" t="s">
        <v>2089</v>
      </c>
      <c r="AP455" s="13" t="s">
        <v>2097</v>
      </c>
      <c r="AQ455" s="21" t="s">
        <v>64</v>
      </c>
      <c r="AR455" s="26">
        <v>27760</v>
      </c>
      <c r="AS455" s="26">
        <v>46007</v>
      </c>
      <c r="AT455" s="25">
        <v>14675</v>
      </c>
      <c r="AU455" s="25" t="s">
        <v>65</v>
      </c>
      <c r="AV455" s="25" t="s">
        <v>65</v>
      </c>
      <c r="AW455" s="25" t="s">
        <v>65</v>
      </c>
      <c r="AX455" s="24"/>
    </row>
    <row r="456" spans="1:50" ht="16.5" customHeight="1">
      <c r="A456" s="36" t="s">
        <v>2098</v>
      </c>
      <c r="B456" s="28"/>
      <c r="C456" s="28" t="s">
        <v>97</v>
      </c>
      <c r="D456" s="28"/>
      <c r="E456" s="28"/>
      <c r="F456" s="28">
        <v>3661</v>
      </c>
      <c r="G456" s="28"/>
      <c r="H456" s="28" t="str">
        <f>IF(ISNUMBER(Table810[[#This Row],[Total Capacity]]),"USBR Enterprise Asset Registry",IF(Table810[[#This Row],[Total Capacity]]="",""))</f>
        <v/>
      </c>
      <c r="I456" s="28"/>
      <c r="J456" s="28"/>
      <c r="K456" s="28"/>
      <c r="L456" s="50" t="s">
        <v>98</v>
      </c>
      <c r="M456" s="48"/>
      <c r="N456" s="50" t="s">
        <v>98</v>
      </c>
      <c r="O456" s="28"/>
      <c r="P456" s="37"/>
      <c r="Q456" s="28" t="str">
        <f>IF(OR(Table810[[#This Row],[Post-Review Decision]]="Include", Table810[[#This Row],[Post-Review Decision]]="Include if possible", Table810[[#This Row],[Post-Review Decision]]="Include (Omit % Avg if needed)",  Table810[[#This Row],[Post-Review Decision]]="Include (Omit % Avg)"),Table810[[#This Row],[EAR Total Capacity]],"")</f>
        <v/>
      </c>
      <c r="R456" s="28"/>
      <c r="S456" s="45" t="s">
        <v>59</v>
      </c>
      <c r="T456" s="28"/>
      <c r="U456" s="28"/>
      <c r="V456" s="17" t="s">
        <v>61</v>
      </c>
      <c r="W456" s="12" t="b">
        <f>ISNUMBER(Table810[[#This Row],[EAR Total Capacity]])</f>
        <v>0</v>
      </c>
      <c r="X456" s="12" t="b">
        <f>IF(Table810[[#This Row],[Has  Storage for Full Averaging Period?]]="OK",TRUE,FALSE)</f>
        <v>0</v>
      </c>
      <c r="Y456" s="12" t="b">
        <f>IFERROR(IF(YEAR(Table810[[#This Row],[RISE Storage End Date]])=2025,TRUE,FALSE),FALSE)</f>
        <v>0</v>
      </c>
      <c r="Z456" s="11" t="b">
        <v>0</v>
      </c>
      <c r="AA456" s="16" t="s">
        <v>61</v>
      </c>
      <c r="AB456" s="17" t="s">
        <v>61</v>
      </c>
      <c r="AC456" s="17" t="s">
        <v>61</v>
      </c>
      <c r="AD456" s="17" t="s">
        <v>61</v>
      </c>
      <c r="AE456" s="17" t="s">
        <v>61</v>
      </c>
      <c r="AF456" s="17" t="s">
        <v>61</v>
      </c>
      <c r="AG456" s="17" t="s">
        <v>61</v>
      </c>
      <c r="AH456" s="17" t="s">
        <v>61</v>
      </c>
      <c r="AI456" s="17" t="s">
        <v>61</v>
      </c>
      <c r="AJ456" s="17" t="s">
        <v>61</v>
      </c>
      <c r="AK456" s="18"/>
      <c r="AL456" s="18"/>
      <c r="AM456" s="13" t="s">
        <v>2099</v>
      </c>
      <c r="AN456" s="11" t="s">
        <v>84</v>
      </c>
      <c r="AO456" s="11" t="s">
        <v>2098</v>
      </c>
      <c r="AP456" s="11" t="e">
        <v>#N/A</v>
      </c>
      <c r="AQ456" s="21" t="s">
        <v>64</v>
      </c>
      <c r="AR456" s="25"/>
      <c r="AS456" s="25"/>
      <c r="AT456" s="25"/>
      <c r="AU456" s="25"/>
      <c r="AV456" s="25"/>
      <c r="AW456" s="25"/>
      <c r="AX456" s="23"/>
    </row>
    <row r="457" spans="1:50" ht="16.5" customHeight="1">
      <c r="A457" s="36" t="s">
        <v>2100</v>
      </c>
      <c r="B457" s="28" t="s">
        <v>68</v>
      </c>
      <c r="C457" s="28" t="s">
        <v>69</v>
      </c>
      <c r="D457" s="28"/>
      <c r="E457" s="28" t="s">
        <v>70</v>
      </c>
      <c r="F457" s="28">
        <v>7191</v>
      </c>
      <c r="G457" s="28">
        <v>3</v>
      </c>
      <c r="H457" s="28" t="str">
        <f>IF(ISNUMBER(Table810[[#This Row],[Total Capacity]]),"USBR Enterprise Asset Registry",IF(Table810[[#This Row],[Total Capacity]]="",""))</f>
        <v>USBR Enterprise Asset Registry</v>
      </c>
      <c r="I457" s="28" t="s">
        <v>71</v>
      </c>
      <c r="J457" s="28" t="s">
        <v>72</v>
      </c>
      <c r="K457" s="28"/>
      <c r="L457" s="50">
        <v>95200</v>
      </c>
      <c r="M457" s="48"/>
      <c r="N457" s="50">
        <v>95200</v>
      </c>
      <c r="O457" s="28"/>
      <c r="P457" s="37"/>
      <c r="Q457" s="28">
        <f>IF(OR(Table810[[#This Row],[Post-Review Decision]]="Include", Table810[[#This Row],[Post-Review Decision]]="Include if possible", Table810[[#This Row],[Post-Review Decision]]="Include (Omit % Avg if needed)",  Table810[[#This Row],[Post-Review Decision]]="Include (Omit % Avg)"),Table810[[#This Row],[EAR Total Capacity]],"")</f>
        <v>210200</v>
      </c>
      <c r="R457" s="28">
        <v>95200</v>
      </c>
      <c r="S457" s="45">
        <v>0</v>
      </c>
      <c r="T457" s="28" t="s">
        <v>2101</v>
      </c>
      <c r="U457" s="28" t="s">
        <v>2102</v>
      </c>
      <c r="V457" s="13" t="s">
        <v>139</v>
      </c>
      <c r="W457" s="12" t="b">
        <f>ISNUMBER(Table810[[#This Row],[EAR Total Capacity]])</f>
        <v>1</v>
      </c>
      <c r="X457" s="12" t="s">
        <v>75</v>
      </c>
      <c r="Y457" s="12" t="b">
        <f>IFERROR(IF(YEAR(Table810[[#This Row],[RISE Storage End Date]])=2025,TRUE,FALSE),FALSE)</f>
        <v>0</v>
      </c>
      <c r="Z457" s="11" t="b">
        <v>0</v>
      </c>
      <c r="AA457" s="13">
        <v>236</v>
      </c>
      <c r="AB457" s="13" t="s">
        <v>76</v>
      </c>
      <c r="AC457" s="13" t="s">
        <v>2103</v>
      </c>
      <c r="AD457" s="13" t="s">
        <v>2100</v>
      </c>
      <c r="AE457" s="13" t="s">
        <v>78</v>
      </c>
      <c r="AF457" s="13" t="s">
        <v>2104</v>
      </c>
      <c r="AG457" s="13" t="s">
        <v>80</v>
      </c>
      <c r="AH457" s="13" t="s">
        <v>81</v>
      </c>
      <c r="AI457" s="13" t="s">
        <v>93</v>
      </c>
      <c r="AJ457" s="19">
        <v>210200</v>
      </c>
      <c r="AK457" s="18"/>
      <c r="AL457" s="18"/>
      <c r="AM457" s="13" t="s">
        <v>2105</v>
      </c>
      <c r="AN457" s="13" t="s">
        <v>84</v>
      </c>
      <c r="AO457" s="13" t="s">
        <v>2100</v>
      </c>
      <c r="AP457" s="13" t="s">
        <v>2106</v>
      </c>
      <c r="AQ457" s="21" t="s">
        <v>64</v>
      </c>
      <c r="AR457" s="25"/>
      <c r="AS457" s="25"/>
      <c r="AT457" s="25"/>
      <c r="AU457" s="25"/>
      <c r="AV457" s="25"/>
      <c r="AW457" s="25"/>
      <c r="AX457" s="24"/>
    </row>
    <row r="458" spans="1:50" ht="16.5" customHeight="1">
      <c r="A458" s="36" t="s">
        <v>2107</v>
      </c>
      <c r="B458" s="28"/>
      <c r="C458" s="28" t="s">
        <v>97</v>
      </c>
      <c r="D458" s="28"/>
      <c r="E458" s="28"/>
      <c r="F458" s="28" t="s">
        <v>61</v>
      </c>
      <c r="G458" s="28"/>
      <c r="H458" s="28" t="str">
        <f>IF(ISNUMBER(Table810[[#This Row],[Total Capacity]]),"USBR Enterprise Asset Registry",IF(Table810[[#This Row],[Total Capacity]]="",""))</f>
        <v/>
      </c>
      <c r="I458" s="28"/>
      <c r="J458" s="28"/>
      <c r="K458" s="28"/>
      <c r="L458" s="50" t="s">
        <v>98</v>
      </c>
      <c r="M458" s="48"/>
      <c r="N458" s="50" t="s">
        <v>98</v>
      </c>
      <c r="O458" s="28"/>
      <c r="P458" s="37"/>
      <c r="Q458" s="28" t="str">
        <f>IF(OR(Table810[[#This Row],[Post-Review Decision]]="Include", Table810[[#This Row],[Post-Review Decision]]="Include if possible", Table810[[#This Row],[Post-Review Decision]]="Include (Omit % Avg if needed)",  Table810[[#This Row],[Post-Review Decision]]="Include (Omit % Avg)"),Table810[[#This Row],[EAR Total Capacity]],"")</f>
        <v/>
      </c>
      <c r="R458" s="28"/>
      <c r="S458" s="45">
        <v>0</v>
      </c>
      <c r="T458" s="28"/>
      <c r="U458" s="28"/>
      <c r="V458" s="13" t="s">
        <v>993</v>
      </c>
      <c r="W458" s="12" t="b">
        <f>ISNUMBER(Table810[[#This Row],[EAR Total Capacity]])</f>
        <v>0</v>
      </c>
      <c r="X458" s="12" t="b">
        <f>IF(Table810[[#This Row],[Has  Storage for Full Averaging Period?]]="OK",TRUE,FALSE)</f>
        <v>0</v>
      </c>
      <c r="Y458" s="12" t="b">
        <f>IFERROR(IF(YEAR(Table810[[#This Row],[RISE Storage End Date]])=2025,TRUE,FALSE),FALSE)</f>
        <v>0</v>
      </c>
      <c r="Z458" s="11" t="b">
        <v>0</v>
      </c>
      <c r="AA458" s="13">
        <v>848</v>
      </c>
      <c r="AB458" s="13" t="s">
        <v>76</v>
      </c>
      <c r="AC458" s="13" t="s">
        <v>2108</v>
      </c>
      <c r="AD458" s="13" t="s">
        <v>2107</v>
      </c>
      <c r="AE458" s="13" t="s">
        <v>101</v>
      </c>
      <c r="AF458" s="13" t="s">
        <v>2109</v>
      </c>
      <c r="AG458" s="13" t="s">
        <v>80</v>
      </c>
      <c r="AH458" s="13" t="s">
        <v>81</v>
      </c>
      <c r="AI458" s="13" t="s">
        <v>103</v>
      </c>
      <c r="AJ458" s="13"/>
      <c r="AK458" s="15"/>
      <c r="AL458" s="15"/>
      <c r="AM458" s="15" t="s">
        <v>61</v>
      </c>
      <c r="AN458" s="15" t="s">
        <v>61</v>
      </c>
      <c r="AO458" s="15" t="s">
        <v>61</v>
      </c>
      <c r="AP458" s="15" t="s">
        <v>61</v>
      </c>
      <c r="AQ458" s="22"/>
      <c r="AR458" s="25"/>
      <c r="AS458" s="25"/>
      <c r="AT458" s="25"/>
      <c r="AU458" s="25"/>
      <c r="AV458" s="25"/>
      <c r="AW458" s="25"/>
      <c r="AX458" s="24"/>
    </row>
    <row r="459" spans="1:50" s="20" customFormat="1" ht="16.5" customHeight="1">
      <c r="A459" s="36" t="s">
        <v>2110</v>
      </c>
      <c r="B459" s="28"/>
      <c r="C459" s="28" t="s">
        <v>97</v>
      </c>
      <c r="D459" s="28"/>
      <c r="E459" s="28"/>
      <c r="F459" s="28" t="s">
        <v>61</v>
      </c>
      <c r="G459" s="28"/>
      <c r="H459" s="28" t="str">
        <f>IF(ISNUMBER(Table810[[#This Row],[Total Capacity]]),"USBR Enterprise Asset Registry",IF(Table810[[#This Row],[Total Capacity]]="",""))</f>
        <v/>
      </c>
      <c r="I459" s="28"/>
      <c r="J459" s="28"/>
      <c r="K459" s="28"/>
      <c r="L459" s="50" t="s">
        <v>98</v>
      </c>
      <c r="M459" s="48"/>
      <c r="N459" s="50" t="s">
        <v>98</v>
      </c>
      <c r="O459" s="28"/>
      <c r="P459" s="37"/>
      <c r="Q459" s="28" t="str">
        <f>IF(OR(Table810[[#This Row],[Post-Review Decision]]="Include", Table810[[#This Row],[Post-Review Decision]]="Include if possible", Table810[[#This Row],[Post-Review Decision]]="Include (Omit % Avg if needed)",  Table810[[#This Row],[Post-Review Decision]]="Include (Omit % Avg)"),Table810[[#This Row],[EAR Total Capacity]],"")</f>
        <v/>
      </c>
      <c r="R459" s="28"/>
      <c r="S459" s="45">
        <v>0</v>
      </c>
      <c r="T459" s="28"/>
      <c r="U459" s="28"/>
      <c r="V459" s="13" t="s">
        <v>385</v>
      </c>
      <c r="W459" s="12" t="b">
        <f>ISNUMBER(Table810[[#This Row],[EAR Total Capacity]])</f>
        <v>0</v>
      </c>
      <c r="X459" s="12" t="b">
        <f>IF(Table810[[#This Row],[Has  Storage for Full Averaging Period?]]="OK",TRUE,FALSE)</f>
        <v>0</v>
      </c>
      <c r="Y459" s="12" t="b">
        <f>IFERROR(IF(YEAR(Table810[[#This Row],[RISE Storage End Date]])=2025,TRUE,FALSE),FALSE)</f>
        <v>0</v>
      </c>
      <c r="Z459" s="11" t="b">
        <v>0</v>
      </c>
      <c r="AA459" s="13">
        <v>441</v>
      </c>
      <c r="AB459" s="13" t="s">
        <v>76</v>
      </c>
      <c r="AC459" s="13" t="s">
        <v>2111</v>
      </c>
      <c r="AD459" s="13" t="s">
        <v>2110</v>
      </c>
      <c r="AE459" s="13" t="s">
        <v>101</v>
      </c>
      <c r="AF459" s="13" t="s">
        <v>2112</v>
      </c>
      <c r="AG459" s="13" t="s">
        <v>80</v>
      </c>
      <c r="AH459" s="13" t="s">
        <v>81</v>
      </c>
      <c r="AI459" s="13" t="s">
        <v>103</v>
      </c>
      <c r="AJ459" s="13"/>
      <c r="AK459" s="15"/>
      <c r="AL459" s="15"/>
      <c r="AM459" s="15" t="s">
        <v>61</v>
      </c>
      <c r="AN459" s="15" t="s">
        <v>61</v>
      </c>
      <c r="AO459" s="15" t="s">
        <v>61</v>
      </c>
      <c r="AP459" s="15" t="s">
        <v>61</v>
      </c>
      <c r="AQ459" s="22"/>
      <c r="AR459" s="25"/>
      <c r="AS459" s="25"/>
      <c r="AT459" s="25"/>
      <c r="AU459" s="25"/>
      <c r="AV459" s="25"/>
      <c r="AW459" s="25"/>
      <c r="AX459" s="24"/>
    </row>
    <row r="460" spans="1:50" ht="16.5" customHeight="1">
      <c r="A460" s="36" t="s">
        <v>2113</v>
      </c>
      <c r="B460" s="28" t="s">
        <v>68</v>
      </c>
      <c r="C460" s="28" t="s">
        <v>69</v>
      </c>
      <c r="D460" s="28"/>
      <c r="E460" s="28" t="s">
        <v>70</v>
      </c>
      <c r="F460" s="28">
        <v>3672</v>
      </c>
      <c r="G460" s="28">
        <v>3</v>
      </c>
      <c r="H460" s="28" t="str">
        <f>IF(ISNUMBER(Table810[[#This Row],[Total Capacity]]),"USBR Enterprise Asset Registry",IF(Table810[[#This Row],[Total Capacity]]="",""))</f>
        <v>USBR Enterprise Asset Registry</v>
      </c>
      <c r="I460" s="28" t="s">
        <v>71</v>
      </c>
      <c r="J460" s="28" t="s">
        <v>72</v>
      </c>
      <c r="K460" s="28"/>
      <c r="L460" s="50">
        <v>169639</v>
      </c>
      <c r="M460" s="48"/>
      <c r="N460" s="50">
        <v>169639</v>
      </c>
      <c r="O460" s="28"/>
      <c r="P460" s="37"/>
      <c r="Q460" s="28">
        <f>IF(OR(Table810[[#This Row],[Post-Review Decision]]="Include", Table810[[#This Row],[Post-Review Decision]]="Include if possible", Table810[[#This Row],[Post-Review Decision]]="Include (Omit % Avg if needed)",  Table810[[#This Row],[Post-Review Decision]]="Include (Omit % Avg)"),Table810[[#This Row],[EAR Total Capacity]],"")</f>
        <v>169714</v>
      </c>
      <c r="R460" s="28">
        <v>169639</v>
      </c>
      <c r="S460" s="46">
        <v>169639</v>
      </c>
      <c r="T460" s="28" t="s">
        <v>2113</v>
      </c>
      <c r="U460" s="28" t="s">
        <v>2114</v>
      </c>
      <c r="V460" s="13" t="s">
        <v>251</v>
      </c>
      <c r="W460" s="12" t="b">
        <f>ISNUMBER(Table810[[#This Row],[EAR Total Capacity]])</f>
        <v>1</v>
      </c>
      <c r="X460" s="12" t="s">
        <v>75</v>
      </c>
      <c r="Y460" s="12" t="b">
        <f>IFERROR(IF(YEAR(Table810[[#This Row],[RISE Storage End Date]])=2025,TRUE,FALSE),FALSE)</f>
        <v>0</v>
      </c>
      <c r="Z460" s="11" t="b">
        <v>0</v>
      </c>
      <c r="AA460" s="13">
        <v>442</v>
      </c>
      <c r="AB460" s="13" t="s">
        <v>76</v>
      </c>
      <c r="AC460" s="13" t="s">
        <v>2115</v>
      </c>
      <c r="AD460" s="13" t="s">
        <v>2113</v>
      </c>
      <c r="AE460" s="13" t="s">
        <v>78</v>
      </c>
      <c r="AF460" s="13" t="s">
        <v>2116</v>
      </c>
      <c r="AG460" s="13" t="s">
        <v>80</v>
      </c>
      <c r="AH460" s="13" t="s">
        <v>81</v>
      </c>
      <c r="AI460" s="13" t="s">
        <v>93</v>
      </c>
      <c r="AJ460" s="19">
        <v>169714</v>
      </c>
      <c r="AK460" s="18"/>
      <c r="AL460" s="18"/>
      <c r="AM460" s="13" t="s">
        <v>2117</v>
      </c>
      <c r="AN460" s="13" t="s">
        <v>84</v>
      </c>
      <c r="AO460" s="13" t="s">
        <v>2113</v>
      </c>
      <c r="AP460" s="13" t="s">
        <v>2113</v>
      </c>
      <c r="AQ460" s="21" t="s">
        <v>64</v>
      </c>
      <c r="AR460" s="25"/>
      <c r="AS460" s="25"/>
      <c r="AT460" s="25"/>
      <c r="AU460" s="25"/>
      <c r="AV460" s="25"/>
      <c r="AW460" s="25"/>
      <c r="AX460" s="24"/>
    </row>
    <row r="461" spans="1:50" ht="16.5" customHeight="1">
      <c r="A461" s="36" t="s">
        <v>2118</v>
      </c>
      <c r="B461" s="28"/>
      <c r="C461" s="28" t="s">
        <v>97</v>
      </c>
      <c r="D461" s="28"/>
      <c r="E461" s="28"/>
      <c r="F461" s="28" t="s">
        <v>61</v>
      </c>
      <c r="G461" s="28"/>
      <c r="H461" s="28" t="str">
        <f>IF(ISNUMBER(Table810[[#This Row],[Total Capacity]]),"USBR Enterprise Asset Registry",IF(Table810[[#This Row],[Total Capacity]]="",""))</f>
        <v/>
      </c>
      <c r="I461" s="28"/>
      <c r="J461" s="28"/>
      <c r="K461" s="28"/>
      <c r="L461" s="50" t="s">
        <v>98</v>
      </c>
      <c r="M461" s="48"/>
      <c r="N461" s="50" t="s">
        <v>98</v>
      </c>
      <c r="O461" s="28"/>
      <c r="P461" s="37"/>
      <c r="Q461" s="28" t="str">
        <f>IF(OR(Table810[[#This Row],[Post-Review Decision]]="Include", Table810[[#This Row],[Post-Review Decision]]="Include if possible", Table810[[#This Row],[Post-Review Decision]]="Include (Omit % Avg if needed)",  Table810[[#This Row],[Post-Review Decision]]="Include (Omit % Avg)"),Table810[[#This Row],[EAR Total Capacity]],"")</f>
        <v/>
      </c>
      <c r="R461" s="28"/>
      <c r="S461" s="45">
        <v>0</v>
      </c>
      <c r="T461" s="28"/>
      <c r="U461" s="28"/>
      <c r="V461" s="13" t="s">
        <v>406</v>
      </c>
      <c r="W461" s="12" t="b">
        <f>ISNUMBER(Table810[[#This Row],[EAR Total Capacity]])</f>
        <v>1</v>
      </c>
      <c r="X461" s="12" t="b">
        <f>IF(Table810[[#This Row],[Has  Storage for Full Averaging Period?]]="OK",TRUE,FALSE)</f>
        <v>0</v>
      </c>
      <c r="Y461" s="12" t="b">
        <f>IFERROR(IF(YEAR(Table810[[#This Row],[RISE Storage End Date]])=2025,TRUE,FALSE),FALSE)</f>
        <v>0</v>
      </c>
      <c r="Z461" s="11" t="b">
        <v>0</v>
      </c>
      <c r="AA461" s="13">
        <v>443</v>
      </c>
      <c r="AB461" s="13" t="s">
        <v>76</v>
      </c>
      <c r="AC461" s="13" t="s">
        <v>2119</v>
      </c>
      <c r="AD461" s="13" t="s">
        <v>2118</v>
      </c>
      <c r="AE461" s="13" t="s">
        <v>78</v>
      </c>
      <c r="AF461" s="13" t="s">
        <v>2120</v>
      </c>
      <c r="AG461" s="13" t="s">
        <v>179</v>
      </c>
      <c r="AH461" s="13" t="s">
        <v>180</v>
      </c>
      <c r="AI461" s="13" t="s">
        <v>82</v>
      </c>
      <c r="AJ461" s="13">
        <v>8440</v>
      </c>
      <c r="AK461" s="15"/>
      <c r="AL461" s="15"/>
      <c r="AM461" s="15" t="s">
        <v>61</v>
      </c>
      <c r="AN461" s="15" t="s">
        <v>61</v>
      </c>
      <c r="AO461" s="15" t="s">
        <v>61</v>
      </c>
      <c r="AP461" s="15" t="s">
        <v>61</v>
      </c>
      <c r="AQ461" s="21" t="s">
        <v>136</v>
      </c>
      <c r="AR461" s="25"/>
      <c r="AS461" s="25"/>
      <c r="AT461" s="25"/>
      <c r="AU461" s="25"/>
      <c r="AV461" s="25"/>
      <c r="AW461" s="25"/>
      <c r="AX461" s="24"/>
    </row>
    <row r="462" spans="1:50" ht="16.5" customHeight="1">
      <c r="A462" s="36" t="s">
        <v>2121</v>
      </c>
      <c r="B462" s="28"/>
      <c r="C462" s="28" t="s">
        <v>97</v>
      </c>
      <c r="D462" s="28"/>
      <c r="E462" s="28"/>
      <c r="F462" s="28" t="s">
        <v>61</v>
      </c>
      <c r="G462" s="28"/>
      <c r="H462" s="28" t="str">
        <f>IF(ISNUMBER(Table810[[#This Row],[Total Capacity]]),"USBR Enterprise Asset Registry",IF(Table810[[#This Row],[Total Capacity]]="",""))</f>
        <v/>
      </c>
      <c r="I462" s="28"/>
      <c r="J462" s="28"/>
      <c r="K462" s="28"/>
      <c r="L462" s="50" t="s">
        <v>98</v>
      </c>
      <c r="M462" s="48"/>
      <c r="N462" s="50" t="s">
        <v>98</v>
      </c>
      <c r="O462" s="28"/>
      <c r="P462" s="37"/>
      <c r="Q462" s="28" t="str">
        <f>IF(OR(Table810[[#This Row],[Post-Review Decision]]="Include", Table810[[#This Row],[Post-Review Decision]]="Include if possible", Table810[[#This Row],[Post-Review Decision]]="Include (Omit % Avg if needed)",  Table810[[#This Row],[Post-Review Decision]]="Include (Omit % Avg)"),Table810[[#This Row],[EAR Total Capacity]],"")</f>
        <v/>
      </c>
      <c r="R462" s="28"/>
      <c r="S462" s="45">
        <v>0</v>
      </c>
      <c r="T462" s="28"/>
      <c r="U462" s="28"/>
      <c r="V462" s="13" t="s">
        <v>606</v>
      </c>
      <c r="W462" s="12" t="b">
        <f>ISNUMBER(Table810[[#This Row],[EAR Total Capacity]])</f>
        <v>0</v>
      </c>
      <c r="X462" s="12" t="b">
        <f>IF(Table810[[#This Row],[Has  Storage for Full Averaging Period?]]="OK",TRUE,FALSE)</f>
        <v>0</v>
      </c>
      <c r="Y462" s="12" t="b">
        <f>IFERROR(IF(YEAR(Table810[[#This Row],[RISE Storage End Date]])=2025,TRUE,FALSE),FALSE)</f>
        <v>0</v>
      </c>
      <c r="Z462" s="11" t="b">
        <v>0</v>
      </c>
      <c r="AA462" s="13">
        <v>444</v>
      </c>
      <c r="AB462" s="13" t="s">
        <v>76</v>
      </c>
      <c r="AC462" s="13" t="s">
        <v>2122</v>
      </c>
      <c r="AD462" s="13" t="s">
        <v>2121</v>
      </c>
      <c r="AE462" s="13" t="s">
        <v>101</v>
      </c>
      <c r="AF462" s="13" t="s">
        <v>2123</v>
      </c>
      <c r="AG462" s="13" t="s">
        <v>91</v>
      </c>
      <c r="AH462" s="13" t="s">
        <v>102</v>
      </c>
      <c r="AI462" s="13" t="s">
        <v>103</v>
      </c>
      <c r="AJ462" s="13"/>
      <c r="AK462" s="15"/>
      <c r="AL462" s="15"/>
      <c r="AM462" s="15" t="s">
        <v>61</v>
      </c>
      <c r="AN462" s="15" t="s">
        <v>61</v>
      </c>
      <c r="AO462" s="15" t="s">
        <v>61</v>
      </c>
      <c r="AP462" s="15" t="s">
        <v>61</v>
      </c>
      <c r="AQ462" s="22"/>
      <c r="AR462" s="25"/>
      <c r="AS462" s="25"/>
      <c r="AT462" s="25"/>
      <c r="AU462" s="25"/>
      <c r="AV462" s="25"/>
      <c r="AW462" s="25"/>
      <c r="AX462" s="24"/>
    </row>
    <row r="463" spans="1:50" ht="16.5" customHeight="1">
      <c r="A463" s="36" t="s">
        <v>2124</v>
      </c>
      <c r="B463" s="28" t="s">
        <v>68</v>
      </c>
      <c r="C463" s="28" t="s">
        <v>321</v>
      </c>
      <c r="D463" s="28"/>
      <c r="E463" s="28" t="s">
        <v>70</v>
      </c>
      <c r="F463" s="28">
        <v>3207</v>
      </c>
      <c r="G463" s="28">
        <v>3</v>
      </c>
      <c r="H463" s="28" t="str">
        <f>IF(ISNUMBER(Table810[[#This Row],[Total Capacity]]),"USBR Enterprise Asset Registry",IF(Table810[[#This Row],[Total Capacity]]="",""))</f>
        <v>USBR Enterprise Asset Registry</v>
      </c>
      <c r="I463" s="28" t="s">
        <v>257</v>
      </c>
      <c r="J463" s="28" t="s">
        <v>72</v>
      </c>
      <c r="K463" s="28"/>
      <c r="L463" s="50">
        <v>2705</v>
      </c>
      <c r="M463" s="48"/>
      <c r="N463" s="50">
        <v>2705</v>
      </c>
      <c r="O463" s="28"/>
      <c r="P463" s="37"/>
      <c r="Q463" s="28">
        <f>IF(OR(Table810[[#This Row],[Post-Review Decision]]="Include", Table810[[#This Row],[Post-Review Decision]]="Include if possible", Table810[[#This Row],[Post-Review Decision]]="Include (Omit % Avg if needed)",  Table810[[#This Row],[Post-Review Decision]]="Include (Omit % Avg)"),Table810[[#This Row],[EAR Total Capacity]],"")</f>
        <v>3055</v>
      </c>
      <c r="R463" s="28">
        <v>2705</v>
      </c>
      <c r="S463" s="46">
        <v>2705</v>
      </c>
      <c r="T463" s="28" t="s">
        <v>2125</v>
      </c>
      <c r="U463" s="28" t="s">
        <v>2126</v>
      </c>
      <c r="V463" s="13" t="s">
        <v>606</v>
      </c>
      <c r="W463" s="12" t="b">
        <f>ISNUMBER(Table810[[#This Row],[EAR Total Capacity]])</f>
        <v>1</v>
      </c>
      <c r="X463" s="12" t="b">
        <f>IF(Table810[[#This Row],[Has  Storage for Full Averaging Period?]]="OK",TRUE,FALSE)</f>
        <v>0</v>
      </c>
      <c r="Y463" s="12" t="b">
        <f>IFERROR(IF(YEAR(Table810[[#This Row],[RISE Storage End Date]])=2025,TRUE,FALSE),FALSE)</f>
        <v>1</v>
      </c>
      <c r="Z463" s="11" t="b">
        <v>0</v>
      </c>
      <c r="AA463" s="13">
        <v>445</v>
      </c>
      <c r="AB463" s="13" t="s">
        <v>76</v>
      </c>
      <c r="AC463" s="13" t="s">
        <v>2127</v>
      </c>
      <c r="AD463" s="13" t="s">
        <v>2124</v>
      </c>
      <c r="AE463" s="13" t="s">
        <v>78</v>
      </c>
      <c r="AF463" s="13" t="s">
        <v>2128</v>
      </c>
      <c r="AG463" s="13" t="s">
        <v>91</v>
      </c>
      <c r="AH463" s="13" t="s">
        <v>102</v>
      </c>
      <c r="AI463" s="13" t="s">
        <v>93</v>
      </c>
      <c r="AJ463" s="13">
        <v>3055</v>
      </c>
      <c r="AK463" s="18"/>
      <c r="AL463" s="18"/>
      <c r="AM463" s="13" t="s">
        <v>2127</v>
      </c>
      <c r="AN463" s="13" t="s">
        <v>63</v>
      </c>
      <c r="AO463" s="13" t="s">
        <v>2124</v>
      </c>
      <c r="AP463" s="13" t="e">
        <v>#N/A</v>
      </c>
      <c r="AQ463" s="21" t="s">
        <v>64</v>
      </c>
      <c r="AR463" s="26">
        <v>37895</v>
      </c>
      <c r="AS463" s="26">
        <v>46002</v>
      </c>
      <c r="AT463" s="25">
        <v>8113</v>
      </c>
      <c r="AU463" s="25" t="s">
        <v>66</v>
      </c>
      <c r="AV463" s="25" t="s">
        <v>65</v>
      </c>
      <c r="AW463" s="25" t="s">
        <v>66</v>
      </c>
      <c r="AX463" s="24"/>
    </row>
    <row r="464" spans="1:50" ht="16.5" customHeight="1">
      <c r="A464" s="36" t="s">
        <v>2129</v>
      </c>
      <c r="B464" s="28"/>
      <c r="C464" s="28" t="s">
        <v>97</v>
      </c>
      <c r="D464" s="28"/>
      <c r="E464" s="28"/>
      <c r="F464" s="28" t="s">
        <v>61</v>
      </c>
      <c r="G464" s="28"/>
      <c r="H464" s="28" t="str">
        <f>IF(ISNUMBER(Table810[[#This Row],[Total Capacity]]),"USBR Enterprise Asset Registry",IF(Table810[[#This Row],[Total Capacity]]="",""))</f>
        <v/>
      </c>
      <c r="I464" s="28"/>
      <c r="J464" s="28"/>
      <c r="K464" s="28"/>
      <c r="L464" s="50" t="s">
        <v>98</v>
      </c>
      <c r="M464" s="48"/>
      <c r="N464" s="50" t="s">
        <v>98</v>
      </c>
      <c r="O464" s="28"/>
      <c r="P464" s="37"/>
      <c r="Q464" s="28" t="str">
        <f>IF(OR(Table810[[#This Row],[Post-Review Decision]]="Include", Table810[[#This Row],[Post-Review Decision]]="Include if possible", Table810[[#This Row],[Post-Review Decision]]="Include (Omit % Avg if needed)",  Table810[[#This Row],[Post-Review Decision]]="Include (Omit % Avg)"),Table810[[#This Row],[EAR Total Capacity]],"")</f>
        <v/>
      </c>
      <c r="R464" s="28"/>
      <c r="S464" s="45">
        <v>0</v>
      </c>
      <c r="T464" s="28"/>
      <c r="U464" s="28"/>
      <c r="V464" s="13" t="s">
        <v>606</v>
      </c>
      <c r="W464" s="12" t="b">
        <f>ISNUMBER(Table810[[#This Row],[EAR Total Capacity]])</f>
        <v>0</v>
      </c>
      <c r="X464" s="12" t="b">
        <f>IF(Table810[[#This Row],[Has  Storage for Full Averaging Period?]]="OK",TRUE,FALSE)</f>
        <v>0</v>
      </c>
      <c r="Y464" s="12" t="b">
        <f>IFERROR(IF(YEAR(Table810[[#This Row],[RISE Storage End Date]])=2025,TRUE,FALSE),FALSE)</f>
        <v>0</v>
      </c>
      <c r="Z464" s="11" t="b">
        <v>0</v>
      </c>
      <c r="AA464" s="13">
        <v>446</v>
      </c>
      <c r="AB464" s="13" t="s">
        <v>76</v>
      </c>
      <c r="AC464" s="13" t="s">
        <v>2130</v>
      </c>
      <c r="AD464" s="13" t="s">
        <v>2129</v>
      </c>
      <c r="AE464" s="13" t="s">
        <v>101</v>
      </c>
      <c r="AF464" s="13" t="s">
        <v>2131</v>
      </c>
      <c r="AG464" s="13" t="s">
        <v>91</v>
      </c>
      <c r="AH464" s="13" t="s">
        <v>102</v>
      </c>
      <c r="AI464" s="13" t="s">
        <v>103</v>
      </c>
      <c r="AJ464" s="13"/>
      <c r="AK464" s="15"/>
      <c r="AL464" s="15"/>
      <c r="AM464" s="15" t="s">
        <v>61</v>
      </c>
      <c r="AN464" s="15" t="s">
        <v>61</v>
      </c>
      <c r="AO464" s="15" t="s">
        <v>61</v>
      </c>
      <c r="AP464" s="15" t="s">
        <v>61</v>
      </c>
      <c r="AQ464" s="22"/>
      <c r="AR464" s="25"/>
      <c r="AS464" s="25"/>
      <c r="AT464" s="25"/>
      <c r="AU464" s="25"/>
      <c r="AV464" s="25"/>
      <c r="AW464" s="25"/>
      <c r="AX464" s="24"/>
    </row>
    <row r="465" spans="1:50" ht="16.5" customHeight="1">
      <c r="A465" s="36" t="s">
        <v>2132</v>
      </c>
      <c r="B465" s="28"/>
      <c r="C465" s="28" t="s">
        <v>97</v>
      </c>
      <c r="D465" s="28"/>
      <c r="E465" s="28"/>
      <c r="F465" s="28" t="s">
        <v>61</v>
      </c>
      <c r="G465" s="28"/>
      <c r="H465" s="28" t="str">
        <f>IF(ISNUMBER(Table810[[#This Row],[Total Capacity]]),"USBR Enterprise Asset Registry",IF(Table810[[#This Row],[Total Capacity]]="",""))</f>
        <v/>
      </c>
      <c r="I465" s="28"/>
      <c r="J465" s="28"/>
      <c r="K465" s="28"/>
      <c r="L465" s="50" t="s">
        <v>98</v>
      </c>
      <c r="M465" s="48"/>
      <c r="N465" s="50" t="s">
        <v>98</v>
      </c>
      <c r="O465" s="28"/>
      <c r="P465" s="37"/>
      <c r="Q465" s="28" t="str">
        <f>IF(OR(Table810[[#This Row],[Post-Review Decision]]="Include", Table810[[#This Row],[Post-Review Decision]]="Include if possible", Table810[[#This Row],[Post-Review Decision]]="Include (Omit % Avg if needed)",  Table810[[#This Row],[Post-Review Decision]]="Include (Omit % Avg)"),Table810[[#This Row],[EAR Total Capacity]],"")</f>
        <v/>
      </c>
      <c r="R465" s="28"/>
      <c r="S465" s="45">
        <v>0</v>
      </c>
      <c r="T465" s="28"/>
      <c r="U465" s="28"/>
      <c r="V465" s="13" t="s">
        <v>1170</v>
      </c>
      <c r="W465" s="12" t="b">
        <f>ISNUMBER(Table810[[#This Row],[EAR Total Capacity]])</f>
        <v>0</v>
      </c>
      <c r="X465" s="12" t="b">
        <f>IF(Table810[[#This Row],[Has  Storage for Full Averaging Period?]]="OK",TRUE,FALSE)</f>
        <v>0</v>
      </c>
      <c r="Y465" s="12" t="b">
        <f>IFERROR(IF(YEAR(Table810[[#This Row],[RISE Storage End Date]])=2025,TRUE,FALSE),FALSE)</f>
        <v>0</v>
      </c>
      <c r="Z465" s="11" t="b">
        <v>0</v>
      </c>
      <c r="AA465" s="13">
        <v>447</v>
      </c>
      <c r="AB465" s="13" t="s">
        <v>76</v>
      </c>
      <c r="AC465" s="13" t="s">
        <v>2133</v>
      </c>
      <c r="AD465" s="13" t="s">
        <v>2132</v>
      </c>
      <c r="AE465" s="13" t="s">
        <v>101</v>
      </c>
      <c r="AF465" s="13" t="s">
        <v>2134</v>
      </c>
      <c r="AG465" s="13" t="s">
        <v>80</v>
      </c>
      <c r="AH465" s="13" t="s">
        <v>81</v>
      </c>
      <c r="AI465" s="13" t="s">
        <v>103</v>
      </c>
      <c r="AJ465" s="13"/>
      <c r="AK465" s="15"/>
      <c r="AL465" s="15"/>
      <c r="AM465" s="15" t="s">
        <v>61</v>
      </c>
      <c r="AN465" s="15" t="s">
        <v>61</v>
      </c>
      <c r="AO465" s="15" t="s">
        <v>61</v>
      </c>
      <c r="AP465" s="15" t="s">
        <v>61</v>
      </c>
      <c r="AQ465" s="22"/>
      <c r="AR465" s="25"/>
      <c r="AS465" s="25"/>
      <c r="AT465" s="25"/>
      <c r="AU465" s="25"/>
      <c r="AV465" s="25"/>
      <c r="AW465" s="25"/>
      <c r="AX465" s="24"/>
    </row>
    <row r="466" spans="1:50" ht="16.5" customHeight="1">
      <c r="A466" s="36" t="s">
        <v>2135</v>
      </c>
      <c r="B466" s="28"/>
      <c r="C466" s="28" t="s">
        <v>97</v>
      </c>
      <c r="D466" s="28"/>
      <c r="E466" s="28"/>
      <c r="F466" s="28" t="s">
        <v>61</v>
      </c>
      <c r="G466" s="28"/>
      <c r="H466" s="28" t="str">
        <f>IF(ISNUMBER(Table810[[#This Row],[Total Capacity]]),"USBR Enterprise Asset Registry",IF(Table810[[#This Row],[Total Capacity]]="",""))</f>
        <v/>
      </c>
      <c r="I466" s="28"/>
      <c r="J466" s="28"/>
      <c r="K466" s="28"/>
      <c r="L466" s="50" t="s">
        <v>98</v>
      </c>
      <c r="M466" s="48"/>
      <c r="N466" s="50" t="s">
        <v>98</v>
      </c>
      <c r="O466" s="28"/>
      <c r="P466" s="37"/>
      <c r="Q466" s="28" t="str">
        <f>IF(OR(Table810[[#This Row],[Post-Review Decision]]="Include", Table810[[#This Row],[Post-Review Decision]]="Include if possible", Table810[[#This Row],[Post-Review Decision]]="Include (Omit % Avg if needed)",  Table810[[#This Row],[Post-Review Decision]]="Include (Omit % Avg)"),Table810[[#This Row],[EAR Total Capacity]],"")</f>
        <v/>
      </c>
      <c r="R466" s="28"/>
      <c r="S466" s="45">
        <v>0</v>
      </c>
      <c r="T466" s="28"/>
      <c r="U466" s="28"/>
      <c r="V466" s="13" t="s">
        <v>465</v>
      </c>
      <c r="W466" s="12" t="b">
        <f>ISNUMBER(Table810[[#This Row],[EAR Total Capacity]])</f>
        <v>1</v>
      </c>
      <c r="X466" s="12" t="b">
        <f>IF(Table810[[#This Row],[Has  Storage for Full Averaging Period?]]="OK",TRUE,FALSE)</f>
        <v>0</v>
      </c>
      <c r="Y466" s="12" t="b">
        <f>IFERROR(IF(YEAR(Table810[[#This Row],[RISE Storage End Date]])=2025,TRUE,FALSE),FALSE)</f>
        <v>0</v>
      </c>
      <c r="Z466" s="11" t="b">
        <v>0</v>
      </c>
      <c r="AA466" s="13">
        <v>448</v>
      </c>
      <c r="AB466" s="13" t="s">
        <v>76</v>
      </c>
      <c r="AC466" s="13" t="s">
        <v>2135</v>
      </c>
      <c r="AD466" s="13" t="s">
        <v>2135</v>
      </c>
      <c r="AE466" s="13" t="s">
        <v>101</v>
      </c>
      <c r="AF466" s="13" t="s">
        <v>2136</v>
      </c>
      <c r="AG466" s="13" t="s">
        <v>91</v>
      </c>
      <c r="AH466" s="13" t="s">
        <v>102</v>
      </c>
      <c r="AI466" s="13" t="s">
        <v>110</v>
      </c>
      <c r="AJ466" s="13">
        <v>29</v>
      </c>
      <c r="AK466" s="15"/>
      <c r="AL466" s="15"/>
      <c r="AM466" s="15" t="s">
        <v>61</v>
      </c>
      <c r="AN466" s="15" t="s">
        <v>61</v>
      </c>
      <c r="AO466" s="15" t="s">
        <v>61</v>
      </c>
      <c r="AP466" s="15" t="s">
        <v>61</v>
      </c>
      <c r="AQ466" s="22"/>
      <c r="AR466" s="25"/>
      <c r="AS466" s="25"/>
      <c r="AT466" s="25"/>
      <c r="AU466" s="25"/>
      <c r="AV466" s="25"/>
      <c r="AW466" s="25"/>
      <c r="AX466" s="24"/>
    </row>
    <row r="467" spans="1:50" ht="16.5" customHeight="1">
      <c r="A467" s="36" t="s">
        <v>2137</v>
      </c>
      <c r="B467" s="28"/>
      <c r="C467" s="28" t="s">
        <v>97</v>
      </c>
      <c r="D467" s="28"/>
      <c r="E467" s="28"/>
      <c r="F467" s="28" t="s">
        <v>61</v>
      </c>
      <c r="G467" s="28"/>
      <c r="H467" s="28" t="str">
        <f>IF(ISNUMBER(Table810[[#This Row],[Total Capacity]]),"USBR Enterprise Asset Registry",IF(Table810[[#This Row],[Total Capacity]]="",""))</f>
        <v/>
      </c>
      <c r="I467" s="28"/>
      <c r="J467" s="28"/>
      <c r="K467" s="28"/>
      <c r="L467" s="50" t="s">
        <v>98</v>
      </c>
      <c r="M467" s="48"/>
      <c r="N467" s="50" t="s">
        <v>98</v>
      </c>
      <c r="O467" s="28"/>
      <c r="P467" s="37"/>
      <c r="Q467" s="28" t="str">
        <f>IF(OR(Table810[[#This Row],[Post-Review Decision]]="Include", Table810[[#This Row],[Post-Review Decision]]="Include if possible", Table810[[#This Row],[Post-Review Decision]]="Include (Omit % Avg if needed)",  Table810[[#This Row],[Post-Review Decision]]="Include (Omit % Avg)"),Table810[[#This Row],[EAR Total Capacity]],"")</f>
        <v/>
      </c>
      <c r="R467" s="28"/>
      <c r="S467" s="45">
        <v>0</v>
      </c>
      <c r="T467" s="28"/>
      <c r="U467" s="28"/>
      <c r="V467" s="13" t="s">
        <v>465</v>
      </c>
      <c r="W467" s="12" t="b">
        <f>ISNUMBER(Table810[[#This Row],[EAR Total Capacity]])</f>
        <v>1</v>
      </c>
      <c r="X467" s="12" t="b">
        <f>IF(Table810[[#This Row],[Has  Storage for Full Averaging Period?]]="OK",TRUE,FALSE)</f>
        <v>0</v>
      </c>
      <c r="Y467" s="12" t="b">
        <f>IFERROR(IF(YEAR(Table810[[#This Row],[RISE Storage End Date]])=2025,TRUE,FALSE),FALSE)</f>
        <v>0</v>
      </c>
      <c r="Z467" s="11" t="b">
        <v>0</v>
      </c>
      <c r="AA467" s="13">
        <v>449</v>
      </c>
      <c r="AB467" s="13" t="s">
        <v>76</v>
      </c>
      <c r="AC467" s="13" t="s">
        <v>2137</v>
      </c>
      <c r="AD467" s="13" t="s">
        <v>2137</v>
      </c>
      <c r="AE467" s="13" t="s">
        <v>101</v>
      </c>
      <c r="AF467" s="13" t="s">
        <v>2138</v>
      </c>
      <c r="AG467" s="13" t="s">
        <v>91</v>
      </c>
      <c r="AH467" s="13" t="s">
        <v>102</v>
      </c>
      <c r="AI467" s="13" t="s">
        <v>103</v>
      </c>
      <c r="AJ467" s="13">
        <v>24</v>
      </c>
      <c r="AK467" s="15"/>
      <c r="AL467" s="15"/>
      <c r="AM467" s="15" t="s">
        <v>61</v>
      </c>
      <c r="AN467" s="15" t="s">
        <v>61</v>
      </c>
      <c r="AO467" s="15" t="s">
        <v>61</v>
      </c>
      <c r="AP467" s="15" t="s">
        <v>61</v>
      </c>
      <c r="AQ467" s="22"/>
      <c r="AR467" s="25"/>
      <c r="AS467" s="25"/>
      <c r="AT467" s="25"/>
      <c r="AU467" s="25"/>
      <c r="AV467" s="25"/>
      <c r="AW467" s="25"/>
      <c r="AX467" s="24"/>
    </row>
    <row r="468" spans="1:50" ht="16.5" customHeight="1">
      <c r="A468" s="36" t="s">
        <v>2139</v>
      </c>
      <c r="B468" s="28"/>
      <c r="C468" s="28" t="s">
        <v>97</v>
      </c>
      <c r="D468" s="28"/>
      <c r="E468" s="28"/>
      <c r="F468" s="28" t="s">
        <v>61</v>
      </c>
      <c r="G468" s="28"/>
      <c r="H468" s="28" t="str">
        <f>IF(ISNUMBER(Table810[[#This Row],[Total Capacity]]),"USBR Enterprise Asset Registry",IF(Table810[[#This Row],[Total Capacity]]="",""))</f>
        <v/>
      </c>
      <c r="I468" s="28"/>
      <c r="J468" s="28"/>
      <c r="K468" s="28"/>
      <c r="L468" s="50" t="s">
        <v>98</v>
      </c>
      <c r="M468" s="48"/>
      <c r="N468" s="50" t="s">
        <v>98</v>
      </c>
      <c r="O468" s="28"/>
      <c r="P468" s="37"/>
      <c r="Q468" s="28" t="str">
        <f>IF(OR(Table810[[#This Row],[Post-Review Decision]]="Include", Table810[[#This Row],[Post-Review Decision]]="Include if possible", Table810[[#This Row],[Post-Review Decision]]="Include (Omit % Avg if needed)",  Table810[[#This Row],[Post-Review Decision]]="Include (Omit % Avg)"),Table810[[#This Row],[EAR Total Capacity]],"")</f>
        <v/>
      </c>
      <c r="R468" s="28"/>
      <c r="S468" s="45">
        <v>0</v>
      </c>
      <c r="T468" s="28"/>
      <c r="U468" s="28"/>
      <c r="V468" s="13" t="s">
        <v>465</v>
      </c>
      <c r="W468" s="12" t="b">
        <f>ISNUMBER(Table810[[#This Row],[EAR Total Capacity]])</f>
        <v>1</v>
      </c>
      <c r="X468" s="12" t="b">
        <f>IF(Table810[[#This Row],[Has  Storage for Full Averaging Period?]]="OK",TRUE,FALSE)</f>
        <v>0</v>
      </c>
      <c r="Y468" s="12" t="b">
        <f>IFERROR(IF(YEAR(Table810[[#This Row],[RISE Storage End Date]])=2025,TRUE,FALSE),FALSE)</f>
        <v>0</v>
      </c>
      <c r="Z468" s="11" t="b">
        <v>0</v>
      </c>
      <c r="AA468" s="13">
        <v>450</v>
      </c>
      <c r="AB468" s="13" t="s">
        <v>76</v>
      </c>
      <c r="AC468" s="13" t="s">
        <v>2139</v>
      </c>
      <c r="AD468" s="13" t="s">
        <v>2139</v>
      </c>
      <c r="AE468" s="13" t="s">
        <v>101</v>
      </c>
      <c r="AF468" s="13" t="s">
        <v>2140</v>
      </c>
      <c r="AG468" s="13" t="s">
        <v>91</v>
      </c>
      <c r="AH468" s="13" t="s">
        <v>102</v>
      </c>
      <c r="AI468" s="13" t="s">
        <v>110</v>
      </c>
      <c r="AJ468" s="13">
        <v>24</v>
      </c>
      <c r="AK468" s="15"/>
      <c r="AL468" s="15"/>
      <c r="AM468" s="15" t="s">
        <v>61</v>
      </c>
      <c r="AN468" s="15" t="s">
        <v>61</v>
      </c>
      <c r="AO468" s="15" t="s">
        <v>61</v>
      </c>
      <c r="AP468" s="15" t="s">
        <v>61</v>
      </c>
      <c r="AQ468" s="22"/>
      <c r="AR468" s="25"/>
      <c r="AS468" s="25"/>
      <c r="AT468" s="25"/>
      <c r="AU468" s="25"/>
      <c r="AV468" s="25"/>
      <c r="AW468" s="25"/>
      <c r="AX468" s="24"/>
    </row>
    <row r="469" spans="1:50" ht="16.5" customHeight="1">
      <c r="A469" s="36" t="s">
        <v>2141</v>
      </c>
      <c r="B469" s="28"/>
      <c r="C469" s="28" t="s">
        <v>97</v>
      </c>
      <c r="D469" s="28"/>
      <c r="E469" s="28"/>
      <c r="F469" s="28" t="s">
        <v>61</v>
      </c>
      <c r="G469" s="28"/>
      <c r="H469" s="28" t="str">
        <f>IF(ISNUMBER(Table810[[#This Row],[Total Capacity]]),"USBR Enterprise Asset Registry",IF(Table810[[#This Row],[Total Capacity]]="",""))</f>
        <v/>
      </c>
      <c r="I469" s="28"/>
      <c r="J469" s="28"/>
      <c r="K469" s="28"/>
      <c r="L469" s="50" t="s">
        <v>98</v>
      </c>
      <c r="M469" s="48"/>
      <c r="N469" s="50" t="s">
        <v>98</v>
      </c>
      <c r="O469" s="28"/>
      <c r="P469" s="37"/>
      <c r="Q469" s="28" t="str">
        <f>IF(OR(Table810[[#This Row],[Post-Review Decision]]="Include", Table810[[#This Row],[Post-Review Decision]]="Include if possible", Table810[[#This Row],[Post-Review Decision]]="Include (Omit % Avg if needed)",  Table810[[#This Row],[Post-Review Decision]]="Include (Omit % Avg)"),Table810[[#This Row],[EAR Total Capacity]],"")</f>
        <v/>
      </c>
      <c r="R469" s="28"/>
      <c r="S469" s="45">
        <v>0</v>
      </c>
      <c r="T469" s="28"/>
      <c r="U469" s="28"/>
      <c r="V469" s="13" t="s">
        <v>465</v>
      </c>
      <c r="W469" s="12" t="b">
        <f>ISNUMBER(Table810[[#This Row],[EAR Total Capacity]])</f>
        <v>1</v>
      </c>
      <c r="X469" s="12" t="b">
        <f>IF(Table810[[#This Row],[Has  Storage for Full Averaging Period?]]="OK",TRUE,FALSE)</f>
        <v>0</v>
      </c>
      <c r="Y469" s="12" t="b">
        <f>IFERROR(IF(YEAR(Table810[[#This Row],[RISE Storage End Date]])=2025,TRUE,FALSE),FALSE)</f>
        <v>0</v>
      </c>
      <c r="Z469" s="11" t="b">
        <v>0</v>
      </c>
      <c r="AA469" s="13">
        <v>451</v>
      </c>
      <c r="AB469" s="13" t="s">
        <v>76</v>
      </c>
      <c r="AC469" s="13" t="s">
        <v>2141</v>
      </c>
      <c r="AD469" s="13" t="s">
        <v>2141</v>
      </c>
      <c r="AE469" s="13" t="s">
        <v>101</v>
      </c>
      <c r="AF469" s="13" t="s">
        <v>2142</v>
      </c>
      <c r="AG469" s="13" t="s">
        <v>91</v>
      </c>
      <c r="AH469" s="13" t="s">
        <v>102</v>
      </c>
      <c r="AI469" s="13" t="s">
        <v>110</v>
      </c>
      <c r="AJ469" s="13">
        <v>14</v>
      </c>
      <c r="AK469" s="15"/>
      <c r="AL469" s="15"/>
      <c r="AM469" s="15" t="s">
        <v>61</v>
      </c>
      <c r="AN469" s="15" t="s">
        <v>61</v>
      </c>
      <c r="AO469" s="15" t="s">
        <v>61</v>
      </c>
      <c r="AP469" s="15" t="s">
        <v>61</v>
      </c>
      <c r="AQ469" s="22"/>
      <c r="AR469" s="25"/>
      <c r="AS469" s="25"/>
      <c r="AT469" s="25"/>
      <c r="AU469" s="25"/>
      <c r="AV469" s="25"/>
      <c r="AW469" s="25"/>
      <c r="AX469" s="24"/>
    </row>
    <row r="470" spans="1:50" ht="16.5" customHeight="1">
      <c r="A470" s="36" t="s">
        <v>2143</v>
      </c>
      <c r="B470" s="28"/>
      <c r="C470" s="28" t="s">
        <v>97</v>
      </c>
      <c r="D470" s="28"/>
      <c r="E470" s="28"/>
      <c r="F470" s="28" t="s">
        <v>61</v>
      </c>
      <c r="G470" s="28"/>
      <c r="H470" s="28" t="str">
        <f>IF(ISNUMBER(Table810[[#This Row],[Total Capacity]]),"USBR Enterprise Asset Registry",IF(Table810[[#This Row],[Total Capacity]]="",""))</f>
        <v/>
      </c>
      <c r="I470" s="28"/>
      <c r="J470" s="28"/>
      <c r="K470" s="28"/>
      <c r="L470" s="50" t="s">
        <v>98</v>
      </c>
      <c r="M470" s="48"/>
      <c r="N470" s="50" t="s">
        <v>98</v>
      </c>
      <c r="O470" s="28"/>
      <c r="P470" s="37"/>
      <c r="Q470" s="28" t="str">
        <f>IF(OR(Table810[[#This Row],[Post-Review Decision]]="Include", Table810[[#This Row],[Post-Review Decision]]="Include if possible", Table810[[#This Row],[Post-Review Decision]]="Include (Omit % Avg if needed)",  Table810[[#This Row],[Post-Review Decision]]="Include (Omit % Avg)"),Table810[[#This Row],[EAR Total Capacity]],"")</f>
        <v/>
      </c>
      <c r="R470" s="28"/>
      <c r="S470" s="45">
        <v>0</v>
      </c>
      <c r="T470" s="28"/>
      <c r="U470" s="28"/>
      <c r="V470" s="13" t="s">
        <v>465</v>
      </c>
      <c r="W470" s="12" t="b">
        <f>ISNUMBER(Table810[[#This Row],[EAR Total Capacity]])</f>
        <v>1</v>
      </c>
      <c r="X470" s="12" t="b">
        <f>IF(Table810[[#This Row],[Has  Storage for Full Averaging Period?]]="OK",TRUE,FALSE)</f>
        <v>0</v>
      </c>
      <c r="Y470" s="12" t="b">
        <f>IFERROR(IF(YEAR(Table810[[#This Row],[RISE Storage End Date]])=2025,TRUE,FALSE),FALSE)</f>
        <v>0</v>
      </c>
      <c r="Z470" s="11" t="b">
        <v>0</v>
      </c>
      <c r="AA470" s="13">
        <v>452</v>
      </c>
      <c r="AB470" s="13" t="s">
        <v>76</v>
      </c>
      <c r="AC470" s="13" t="s">
        <v>2143</v>
      </c>
      <c r="AD470" s="13" t="s">
        <v>2143</v>
      </c>
      <c r="AE470" s="13" t="s">
        <v>101</v>
      </c>
      <c r="AF470" s="13" t="s">
        <v>2144</v>
      </c>
      <c r="AG470" s="13" t="s">
        <v>91</v>
      </c>
      <c r="AH470" s="13" t="s">
        <v>102</v>
      </c>
      <c r="AI470" s="13" t="s">
        <v>110</v>
      </c>
      <c r="AJ470" s="13">
        <v>20</v>
      </c>
      <c r="AK470" s="15"/>
      <c r="AL470" s="15"/>
      <c r="AM470" s="15" t="s">
        <v>61</v>
      </c>
      <c r="AN470" s="15" t="s">
        <v>61</v>
      </c>
      <c r="AO470" s="15" t="s">
        <v>61</v>
      </c>
      <c r="AP470" s="15" t="s">
        <v>61</v>
      </c>
      <c r="AQ470" s="22"/>
      <c r="AR470" s="25"/>
      <c r="AS470" s="25"/>
      <c r="AT470" s="25"/>
      <c r="AU470" s="25"/>
      <c r="AV470" s="25"/>
      <c r="AW470" s="25"/>
      <c r="AX470" s="24"/>
    </row>
    <row r="471" spans="1:50" ht="16.5" customHeight="1">
      <c r="A471" s="36" t="s">
        <v>2145</v>
      </c>
      <c r="B471" s="28"/>
      <c r="C471" s="28" t="s">
        <v>97</v>
      </c>
      <c r="D471" s="28"/>
      <c r="E471" s="28"/>
      <c r="F471" s="28" t="s">
        <v>61</v>
      </c>
      <c r="G471" s="28"/>
      <c r="H471" s="28" t="str">
        <f>IF(ISNUMBER(Table810[[#This Row],[Total Capacity]]),"USBR Enterprise Asset Registry",IF(Table810[[#This Row],[Total Capacity]]="",""))</f>
        <v/>
      </c>
      <c r="I471" s="28"/>
      <c r="J471" s="28"/>
      <c r="K471" s="28"/>
      <c r="L471" s="50" t="s">
        <v>98</v>
      </c>
      <c r="M471" s="48"/>
      <c r="N471" s="50" t="s">
        <v>98</v>
      </c>
      <c r="O471" s="28"/>
      <c r="P471" s="37"/>
      <c r="Q471" s="28" t="str">
        <f>IF(OR(Table810[[#This Row],[Post-Review Decision]]="Include", Table810[[#This Row],[Post-Review Decision]]="Include if possible", Table810[[#This Row],[Post-Review Decision]]="Include (Omit % Avg if needed)",  Table810[[#This Row],[Post-Review Decision]]="Include (Omit % Avg)"),Table810[[#This Row],[EAR Total Capacity]],"")</f>
        <v/>
      </c>
      <c r="R471" s="28"/>
      <c r="S471" s="45">
        <v>0</v>
      </c>
      <c r="T471" s="28"/>
      <c r="U471" s="28"/>
      <c r="V471" s="13" t="s">
        <v>465</v>
      </c>
      <c r="W471" s="12" t="b">
        <f>ISNUMBER(Table810[[#This Row],[EAR Total Capacity]])</f>
        <v>1</v>
      </c>
      <c r="X471" s="12" t="b">
        <f>IF(Table810[[#This Row],[Has  Storage for Full Averaging Period?]]="OK",TRUE,FALSE)</f>
        <v>0</v>
      </c>
      <c r="Y471" s="12" t="b">
        <f>IFERROR(IF(YEAR(Table810[[#This Row],[RISE Storage End Date]])=2025,TRUE,FALSE),FALSE)</f>
        <v>0</v>
      </c>
      <c r="Z471" s="11" t="b">
        <v>0</v>
      </c>
      <c r="AA471" s="13">
        <v>453</v>
      </c>
      <c r="AB471" s="13" t="s">
        <v>76</v>
      </c>
      <c r="AC471" s="13" t="s">
        <v>2145</v>
      </c>
      <c r="AD471" s="13" t="s">
        <v>2145</v>
      </c>
      <c r="AE471" s="13" t="s">
        <v>101</v>
      </c>
      <c r="AF471" s="13" t="s">
        <v>2146</v>
      </c>
      <c r="AG471" s="13" t="s">
        <v>91</v>
      </c>
      <c r="AH471" s="13" t="s">
        <v>102</v>
      </c>
      <c r="AI471" s="13" t="s">
        <v>110</v>
      </c>
      <c r="AJ471" s="13">
        <v>24</v>
      </c>
      <c r="AK471" s="15"/>
      <c r="AL471" s="15"/>
      <c r="AM471" s="15" t="s">
        <v>61</v>
      </c>
      <c r="AN471" s="15" t="s">
        <v>61</v>
      </c>
      <c r="AO471" s="15" t="s">
        <v>61</v>
      </c>
      <c r="AP471" s="15" t="s">
        <v>61</v>
      </c>
      <c r="AQ471" s="22"/>
      <c r="AR471" s="25"/>
      <c r="AS471" s="25"/>
      <c r="AT471" s="25"/>
      <c r="AU471" s="25"/>
      <c r="AV471" s="25"/>
      <c r="AW471" s="25"/>
      <c r="AX471" s="24"/>
    </row>
    <row r="472" spans="1:50" ht="16.5" customHeight="1">
      <c r="A472" s="36" t="s">
        <v>2147</v>
      </c>
      <c r="B472" s="28"/>
      <c r="C472" s="28" t="s">
        <v>97</v>
      </c>
      <c r="D472" s="28"/>
      <c r="E472" s="28"/>
      <c r="F472" s="28" t="s">
        <v>61</v>
      </c>
      <c r="G472" s="28"/>
      <c r="H472" s="28" t="str">
        <f>IF(ISNUMBER(Table810[[#This Row],[Total Capacity]]),"USBR Enterprise Asset Registry",IF(Table810[[#This Row],[Total Capacity]]="",""))</f>
        <v/>
      </c>
      <c r="I472" s="28"/>
      <c r="J472" s="28"/>
      <c r="K472" s="28"/>
      <c r="L472" s="50" t="s">
        <v>98</v>
      </c>
      <c r="M472" s="48"/>
      <c r="N472" s="50" t="s">
        <v>98</v>
      </c>
      <c r="O472" s="28"/>
      <c r="P472" s="37"/>
      <c r="Q472" s="28" t="str">
        <f>IF(OR(Table810[[#This Row],[Post-Review Decision]]="Include", Table810[[#This Row],[Post-Review Decision]]="Include if possible", Table810[[#This Row],[Post-Review Decision]]="Include (Omit % Avg if needed)",  Table810[[#This Row],[Post-Review Decision]]="Include (Omit % Avg)"),Table810[[#This Row],[EAR Total Capacity]],"")</f>
        <v/>
      </c>
      <c r="R472" s="28"/>
      <c r="S472" s="45">
        <v>0</v>
      </c>
      <c r="T472" s="28"/>
      <c r="U472" s="28"/>
      <c r="V472" s="13" t="s">
        <v>465</v>
      </c>
      <c r="W472" s="12" t="b">
        <f>ISNUMBER(Table810[[#This Row],[EAR Total Capacity]])</f>
        <v>1</v>
      </c>
      <c r="X472" s="12" t="b">
        <f>IF(Table810[[#This Row],[Has  Storage for Full Averaging Period?]]="OK",TRUE,FALSE)</f>
        <v>0</v>
      </c>
      <c r="Y472" s="12" t="b">
        <f>IFERROR(IF(YEAR(Table810[[#This Row],[RISE Storage End Date]])=2025,TRUE,FALSE),FALSE)</f>
        <v>0</v>
      </c>
      <c r="Z472" s="11" t="b">
        <v>0</v>
      </c>
      <c r="AA472" s="13">
        <v>454</v>
      </c>
      <c r="AB472" s="13" t="s">
        <v>76</v>
      </c>
      <c r="AC472" s="13" t="s">
        <v>2147</v>
      </c>
      <c r="AD472" s="13" t="s">
        <v>2147</v>
      </c>
      <c r="AE472" s="13" t="s">
        <v>78</v>
      </c>
      <c r="AF472" s="13" t="s">
        <v>2148</v>
      </c>
      <c r="AG472" s="13" t="s">
        <v>91</v>
      </c>
      <c r="AH472" s="13" t="s">
        <v>102</v>
      </c>
      <c r="AI472" s="13" t="s">
        <v>110</v>
      </c>
      <c r="AJ472" s="13">
        <v>83</v>
      </c>
      <c r="AK472" s="15"/>
      <c r="AL472" s="15"/>
      <c r="AM472" s="15" t="s">
        <v>61</v>
      </c>
      <c r="AN472" s="15" t="s">
        <v>61</v>
      </c>
      <c r="AO472" s="15" t="s">
        <v>61</v>
      </c>
      <c r="AP472" s="15" t="s">
        <v>61</v>
      </c>
      <c r="AQ472" s="21" t="s">
        <v>136</v>
      </c>
      <c r="AR472" s="25"/>
      <c r="AS472" s="25"/>
      <c r="AT472" s="25"/>
      <c r="AU472" s="25"/>
      <c r="AV472" s="25"/>
      <c r="AW472" s="25"/>
      <c r="AX472" s="24"/>
    </row>
    <row r="473" spans="1:50" ht="16.5" customHeight="1">
      <c r="A473" s="36" t="s">
        <v>2149</v>
      </c>
      <c r="B473" s="28"/>
      <c r="C473" s="28" t="s">
        <v>97</v>
      </c>
      <c r="D473" s="28"/>
      <c r="E473" s="28"/>
      <c r="F473" s="28" t="s">
        <v>61</v>
      </c>
      <c r="G473" s="28"/>
      <c r="H473" s="28" t="str">
        <f>IF(ISNUMBER(Table810[[#This Row],[Total Capacity]]),"USBR Enterprise Asset Registry",IF(Table810[[#This Row],[Total Capacity]]="",""))</f>
        <v/>
      </c>
      <c r="I473" s="28"/>
      <c r="J473" s="28"/>
      <c r="K473" s="28"/>
      <c r="L473" s="50" t="s">
        <v>98</v>
      </c>
      <c r="M473" s="48"/>
      <c r="N473" s="50" t="s">
        <v>98</v>
      </c>
      <c r="O473" s="28"/>
      <c r="P473" s="37"/>
      <c r="Q473" s="28" t="str">
        <f>IF(OR(Table810[[#This Row],[Post-Review Decision]]="Include", Table810[[#This Row],[Post-Review Decision]]="Include if possible", Table810[[#This Row],[Post-Review Decision]]="Include (Omit % Avg if needed)",  Table810[[#This Row],[Post-Review Decision]]="Include (Omit % Avg)"),Table810[[#This Row],[EAR Total Capacity]],"")</f>
        <v/>
      </c>
      <c r="R473" s="28"/>
      <c r="S473" s="45">
        <v>0</v>
      </c>
      <c r="T473" s="28"/>
      <c r="U473" s="28"/>
      <c r="V473" s="13" t="s">
        <v>465</v>
      </c>
      <c r="W473" s="12" t="b">
        <f>ISNUMBER(Table810[[#This Row],[EAR Total Capacity]])</f>
        <v>1</v>
      </c>
      <c r="X473" s="12" t="b">
        <f>IF(Table810[[#This Row],[Has  Storage for Full Averaging Period?]]="OK",TRUE,FALSE)</f>
        <v>0</v>
      </c>
      <c r="Y473" s="12" t="b">
        <f>IFERROR(IF(YEAR(Table810[[#This Row],[RISE Storage End Date]])=2025,TRUE,FALSE),FALSE)</f>
        <v>0</v>
      </c>
      <c r="Z473" s="11" t="b">
        <v>0</v>
      </c>
      <c r="AA473" s="13">
        <v>455</v>
      </c>
      <c r="AB473" s="13" t="s">
        <v>76</v>
      </c>
      <c r="AC473" s="13" t="s">
        <v>2149</v>
      </c>
      <c r="AD473" s="13" t="s">
        <v>2149</v>
      </c>
      <c r="AE473" s="13" t="s">
        <v>101</v>
      </c>
      <c r="AF473" s="13" t="s">
        <v>2150</v>
      </c>
      <c r="AG473" s="13" t="s">
        <v>91</v>
      </c>
      <c r="AH473" s="13" t="s">
        <v>102</v>
      </c>
      <c r="AI473" s="13" t="s">
        <v>110</v>
      </c>
      <c r="AJ473" s="13">
        <v>24</v>
      </c>
      <c r="AK473" s="15"/>
      <c r="AL473" s="15"/>
      <c r="AM473" s="15" t="s">
        <v>61</v>
      </c>
      <c r="AN473" s="15" t="s">
        <v>61</v>
      </c>
      <c r="AO473" s="15" t="s">
        <v>61</v>
      </c>
      <c r="AP473" s="15" t="s">
        <v>61</v>
      </c>
      <c r="AQ473" s="22"/>
      <c r="AR473" s="25"/>
      <c r="AS473" s="25"/>
      <c r="AT473" s="25"/>
      <c r="AU473" s="25"/>
      <c r="AV473" s="25"/>
      <c r="AW473" s="25"/>
      <c r="AX473" s="24"/>
    </row>
    <row r="474" spans="1:50" ht="16.5" customHeight="1">
      <c r="A474" s="36" t="s">
        <v>2151</v>
      </c>
      <c r="B474" s="28"/>
      <c r="C474" s="28" t="s">
        <v>97</v>
      </c>
      <c r="D474" s="28"/>
      <c r="E474" s="28"/>
      <c r="F474" s="28" t="s">
        <v>61</v>
      </c>
      <c r="G474" s="28"/>
      <c r="H474" s="28" t="str">
        <f>IF(ISNUMBER(Table810[[#This Row],[Total Capacity]]),"USBR Enterprise Asset Registry",IF(Table810[[#This Row],[Total Capacity]]="",""))</f>
        <v/>
      </c>
      <c r="I474" s="28"/>
      <c r="J474" s="28"/>
      <c r="K474" s="28"/>
      <c r="L474" s="50" t="s">
        <v>98</v>
      </c>
      <c r="M474" s="48"/>
      <c r="N474" s="50" t="s">
        <v>98</v>
      </c>
      <c r="O474" s="28"/>
      <c r="P474" s="37"/>
      <c r="Q474" s="28" t="str">
        <f>IF(OR(Table810[[#This Row],[Post-Review Decision]]="Include", Table810[[#This Row],[Post-Review Decision]]="Include if possible", Table810[[#This Row],[Post-Review Decision]]="Include (Omit % Avg if needed)",  Table810[[#This Row],[Post-Review Decision]]="Include (Omit % Avg)"),Table810[[#This Row],[EAR Total Capacity]],"")</f>
        <v/>
      </c>
      <c r="R474" s="28"/>
      <c r="S474" s="45">
        <v>0</v>
      </c>
      <c r="T474" s="28"/>
      <c r="U474" s="28"/>
      <c r="V474" s="13" t="s">
        <v>465</v>
      </c>
      <c r="W474" s="12" t="b">
        <f>ISNUMBER(Table810[[#This Row],[EAR Total Capacity]])</f>
        <v>1</v>
      </c>
      <c r="X474" s="12" t="b">
        <f>IF(Table810[[#This Row],[Has  Storage for Full Averaging Period?]]="OK",TRUE,FALSE)</f>
        <v>0</v>
      </c>
      <c r="Y474" s="12" t="b">
        <f>IFERROR(IF(YEAR(Table810[[#This Row],[RISE Storage End Date]])=2025,TRUE,FALSE),FALSE)</f>
        <v>0</v>
      </c>
      <c r="Z474" s="11" t="b">
        <v>0</v>
      </c>
      <c r="AA474" s="13">
        <v>456</v>
      </c>
      <c r="AB474" s="13" t="s">
        <v>76</v>
      </c>
      <c r="AC474" s="13" t="s">
        <v>2151</v>
      </c>
      <c r="AD474" s="13" t="s">
        <v>2151</v>
      </c>
      <c r="AE474" s="13" t="s">
        <v>101</v>
      </c>
      <c r="AF474" s="13" t="s">
        <v>2152</v>
      </c>
      <c r="AG474" s="13" t="s">
        <v>91</v>
      </c>
      <c r="AH474" s="13" t="s">
        <v>102</v>
      </c>
      <c r="AI474" s="13" t="s">
        <v>110</v>
      </c>
      <c r="AJ474" s="13">
        <v>14</v>
      </c>
      <c r="AK474" s="15"/>
      <c r="AL474" s="15"/>
      <c r="AM474" s="15" t="s">
        <v>61</v>
      </c>
      <c r="AN474" s="15" t="s">
        <v>61</v>
      </c>
      <c r="AO474" s="15" t="s">
        <v>61</v>
      </c>
      <c r="AP474" s="15" t="s">
        <v>61</v>
      </c>
      <c r="AQ474" s="22"/>
      <c r="AR474" s="25"/>
      <c r="AS474" s="25"/>
      <c r="AT474" s="25"/>
      <c r="AU474" s="25"/>
      <c r="AV474" s="25"/>
      <c r="AW474" s="25"/>
      <c r="AX474" s="24"/>
    </row>
    <row r="475" spans="1:50" ht="16.5" customHeight="1">
      <c r="A475" s="36" t="s">
        <v>2153</v>
      </c>
      <c r="B475" s="28"/>
      <c r="C475" s="28" t="s">
        <v>97</v>
      </c>
      <c r="D475" s="28"/>
      <c r="E475" s="28"/>
      <c r="F475" s="28" t="s">
        <v>61</v>
      </c>
      <c r="G475" s="28"/>
      <c r="H475" s="28" t="str">
        <f>IF(ISNUMBER(Table810[[#This Row],[Total Capacity]]),"USBR Enterprise Asset Registry",IF(Table810[[#This Row],[Total Capacity]]="",""))</f>
        <v/>
      </c>
      <c r="I475" s="28"/>
      <c r="J475" s="28"/>
      <c r="K475" s="28"/>
      <c r="L475" s="50" t="s">
        <v>98</v>
      </c>
      <c r="M475" s="48"/>
      <c r="N475" s="50" t="s">
        <v>98</v>
      </c>
      <c r="O475" s="28"/>
      <c r="P475" s="37"/>
      <c r="Q475" s="28" t="str">
        <f>IF(OR(Table810[[#This Row],[Post-Review Decision]]="Include", Table810[[#This Row],[Post-Review Decision]]="Include if possible", Table810[[#This Row],[Post-Review Decision]]="Include (Omit % Avg if needed)",  Table810[[#This Row],[Post-Review Decision]]="Include (Omit % Avg)"),Table810[[#This Row],[EAR Total Capacity]],"")</f>
        <v/>
      </c>
      <c r="R475" s="28"/>
      <c r="S475" s="45">
        <v>0</v>
      </c>
      <c r="T475" s="28"/>
      <c r="U475" s="28"/>
      <c r="V475" s="13" t="s">
        <v>465</v>
      </c>
      <c r="W475" s="12" t="b">
        <f>ISNUMBER(Table810[[#This Row],[EAR Total Capacity]])</f>
        <v>1</v>
      </c>
      <c r="X475" s="12" t="b">
        <f>IF(Table810[[#This Row],[Has  Storage for Full Averaging Period?]]="OK",TRUE,FALSE)</f>
        <v>0</v>
      </c>
      <c r="Y475" s="12" t="b">
        <f>IFERROR(IF(YEAR(Table810[[#This Row],[RISE Storage End Date]])=2025,TRUE,FALSE),FALSE)</f>
        <v>0</v>
      </c>
      <c r="Z475" s="11" t="b">
        <v>0</v>
      </c>
      <c r="AA475" s="13">
        <v>457</v>
      </c>
      <c r="AB475" s="13" t="s">
        <v>76</v>
      </c>
      <c r="AC475" s="13" t="s">
        <v>2153</v>
      </c>
      <c r="AD475" s="13" t="s">
        <v>2153</v>
      </c>
      <c r="AE475" s="13" t="s">
        <v>101</v>
      </c>
      <c r="AF475" s="13" t="s">
        <v>2154</v>
      </c>
      <c r="AG475" s="13" t="s">
        <v>91</v>
      </c>
      <c r="AH475" s="13" t="s">
        <v>102</v>
      </c>
      <c r="AI475" s="13" t="s">
        <v>110</v>
      </c>
      <c r="AJ475" s="13">
        <v>18</v>
      </c>
      <c r="AK475" s="15"/>
      <c r="AL475" s="15"/>
      <c r="AM475" s="15" t="s">
        <v>61</v>
      </c>
      <c r="AN475" s="15" t="s">
        <v>61</v>
      </c>
      <c r="AO475" s="15" t="s">
        <v>61</v>
      </c>
      <c r="AP475" s="15" t="s">
        <v>61</v>
      </c>
      <c r="AQ475" s="22"/>
      <c r="AR475" s="25"/>
      <c r="AS475" s="25"/>
      <c r="AT475" s="25"/>
      <c r="AU475" s="25"/>
      <c r="AV475" s="25"/>
      <c r="AW475" s="25"/>
      <c r="AX475" s="24"/>
    </row>
    <row r="476" spans="1:50" ht="16.5" customHeight="1">
      <c r="A476" s="36" t="s">
        <v>2155</v>
      </c>
      <c r="B476" s="28"/>
      <c r="C476" s="28" t="s">
        <v>97</v>
      </c>
      <c r="D476" s="28"/>
      <c r="E476" s="28"/>
      <c r="F476" s="28" t="s">
        <v>61</v>
      </c>
      <c r="G476" s="28"/>
      <c r="H476" s="28" t="str">
        <f>IF(ISNUMBER(Table810[[#This Row],[Total Capacity]]),"USBR Enterprise Asset Registry",IF(Table810[[#This Row],[Total Capacity]]="",""))</f>
        <v/>
      </c>
      <c r="I476" s="28"/>
      <c r="J476" s="28"/>
      <c r="K476" s="28"/>
      <c r="L476" s="50" t="s">
        <v>98</v>
      </c>
      <c r="M476" s="48"/>
      <c r="N476" s="50" t="s">
        <v>98</v>
      </c>
      <c r="O476" s="28"/>
      <c r="P476" s="37"/>
      <c r="Q476" s="28" t="str">
        <f>IF(OR(Table810[[#This Row],[Post-Review Decision]]="Include", Table810[[#This Row],[Post-Review Decision]]="Include if possible", Table810[[#This Row],[Post-Review Decision]]="Include (Omit % Avg if needed)",  Table810[[#This Row],[Post-Review Decision]]="Include (Omit % Avg)"),Table810[[#This Row],[EAR Total Capacity]],"")</f>
        <v/>
      </c>
      <c r="R476" s="28"/>
      <c r="S476" s="45">
        <v>0</v>
      </c>
      <c r="T476" s="28"/>
      <c r="U476" s="28"/>
      <c r="V476" s="13" t="s">
        <v>465</v>
      </c>
      <c r="W476" s="12" t="b">
        <f>ISNUMBER(Table810[[#This Row],[EAR Total Capacity]])</f>
        <v>1</v>
      </c>
      <c r="X476" s="12" t="b">
        <f>IF(Table810[[#This Row],[Has  Storage for Full Averaging Period?]]="OK",TRUE,FALSE)</f>
        <v>0</v>
      </c>
      <c r="Y476" s="12" t="b">
        <f>IFERROR(IF(YEAR(Table810[[#This Row],[RISE Storage End Date]])=2025,TRUE,FALSE),FALSE)</f>
        <v>0</v>
      </c>
      <c r="Z476" s="11" t="b">
        <v>0</v>
      </c>
      <c r="AA476" s="13">
        <v>458</v>
      </c>
      <c r="AB476" s="13" t="s">
        <v>76</v>
      </c>
      <c r="AC476" s="13" t="s">
        <v>2155</v>
      </c>
      <c r="AD476" s="13" t="s">
        <v>2155</v>
      </c>
      <c r="AE476" s="13" t="s">
        <v>101</v>
      </c>
      <c r="AF476" s="13" t="s">
        <v>2156</v>
      </c>
      <c r="AG476" s="13" t="s">
        <v>91</v>
      </c>
      <c r="AH476" s="13" t="s">
        <v>102</v>
      </c>
      <c r="AI476" s="13" t="s">
        <v>110</v>
      </c>
      <c r="AJ476" s="13">
        <v>17</v>
      </c>
      <c r="AK476" s="15"/>
      <c r="AL476" s="15"/>
      <c r="AM476" s="15" t="s">
        <v>61</v>
      </c>
      <c r="AN476" s="15" t="s">
        <v>61</v>
      </c>
      <c r="AO476" s="15" t="s">
        <v>61</v>
      </c>
      <c r="AP476" s="15" t="s">
        <v>61</v>
      </c>
      <c r="AQ476" s="22"/>
      <c r="AR476" s="25"/>
      <c r="AS476" s="25"/>
      <c r="AT476" s="25"/>
      <c r="AU476" s="25"/>
      <c r="AV476" s="25"/>
      <c r="AW476" s="25"/>
      <c r="AX476" s="24"/>
    </row>
    <row r="477" spans="1:50" ht="16.5" customHeight="1">
      <c r="A477" s="36" t="s">
        <v>2157</v>
      </c>
      <c r="B477" s="28"/>
      <c r="C477" s="28" t="s">
        <v>97</v>
      </c>
      <c r="D477" s="28"/>
      <c r="E477" s="28"/>
      <c r="F477" s="28" t="s">
        <v>61</v>
      </c>
      <c r="G477" s="28"/>
      <c r="H477" s="28" t="str">
        <f>IF(ISNUMBER(Table810[[#This Row],[Total Capacity]]),"USBR Enterprise Asset Registry",IF(Table810[[#This Row],[Total Capacity]]="",""))</f>
        <v/>
      </c>
      <c r="I477" s="28"/>
      <c r="J477" s="28"/>
      <c r="K477" s="28"/>
      <c r="L477" s="50" t="s">
        <v>98</v>
      </c>
      <c r="M477" s="48"/>
      <c r="N477" s="50" t="s">
        <v>98</v>
      </c>
      <c r="O477" s="28"/>
      <c r="P477" s="37"/>
      <c r="Q477" s="28" t="str">
        <f>IF(OR(Table810[[#This Row],[Post-Review Decision]]="Include", Table810[[#This Row],[Post-Review Decision]]="Include if possible", Table810[[#This Row],[Post-Review Decision]]="Include (Omit % Avg if needed)",  Table810[[#This Row],[Post-Review Decision]]="Include (Omit % Avg)"),Table810[[#This Row],[EAR Total Capacity]],"")</f>
        <v/>
      </c>
      <c r="R477" s="28"/>
      <c r="S477" s="45">
        <v>0</v>
      </c>
      <c r="T477" s="28"/>
      <c r="U477" s="28"/>
      <c r="V477" s="13" t="s">
        <v>465</v>
      </c>
      <c r="W477" s="12" t="b">
        <f>ISNUMBER(Table810[[#This Row],[EAR Total Capacity]])</f>
        <v>1</v>
      </c>
      <c r="X477" s="12" t="b">
        <f>IF(Table810[[#This Row],[Has  Storage for Full Averaging Period?]]="OK",TRUE,FALSE)</f>
        <v>0</v>
      </c>
      <c r="Y477" s="12" t="b">
        <f>IFERROR(IF(YEAR(Table810[[#This Row],[RISE Storage End Date]])=2025,TRUE,FALSE),FALSE)</f>
        <v>0</v>
      </c>
      <c r="Z477" s="11" t="b">
        <v>0</v>
      </c>
      <c r="AA477" s="13">
        <v>459</v>
      </c>
      <c r="AB477" s="13" t="s">
        <v>76</v>
      </c>
      <c r="AC477" s="13" t="s">
        <v>2157</v>
      </c>
      <c r="AD477" s="13" t="s">
        <v>2157</v>
      </c>
      <c r="AE477" s="13" t="s">
        <v>101</v>
      </c>
      <c r="AF477" s="13" t="s">
        <v>2158</v>
      </c>
      <c r="AG477" s="13" t="s">
        <v>91</v>
      </c>
      <c r="AH477" s="13" t="s">
        <v>102</v>
      </c>
      <c r="AI477" s="13" t="s">
        <v>110</v>
      </c>
      <c r="AJ477" s="13">
        <v>10</v>
      </c>
      <c r="AK477" s="15"/>
      <c r="AL477" s="15"/>
      <c r="AM477" s="15" t="s">
        <v>61</v>
      </c>
      <c r="AN477" s="15" t="s">
        <v>61</v>
      </c>
      <c r="AO477" s="15" t="s">
        <v>61</v>
      </c>
      <c r="AP477" s="15" t="s">
        <v>61</v>
      </c>
      <c r="AQ477" s="22"/>
      <c r="AR477" s="25"/>
      <c r="AS477" s="25"/>
      <c r="AT477" s="25"/>
      <c r="AU477" s="25"/>
      <c r="AV477" s="25"/>
      <c r="AW477" s="25"/>
      <c r="AX477" s="24"/>
    </row>
    <row r="478" spans="1:50" s="20" customFormat="1" ht="16.5" customHeight="1">
      <c r="A478" s="36" t="s">
        <v>2159</v>
      </c>
      <c r="B478" s="28"/>
      <c r="C478" s="28" t="s">
        <v>97</v>
      </c>
      <c r="D478" s="28"/>
      <c r="E478" s="28"/>
      <c r="F478" s="28" t="s">
        <v>61</v>
      </c>
      <c r="G478" s="28"/>
      <c r="H478" s="28" t="str">
        <f>IF(ISNUMBER(Table810[[#This Row],[Total Capacity]]),"USBR Enterprise Asset Registry",IF(Table810[[#This Row],[Total Capacity]]="",""))</f>
        <v/>
      </c>
      <c r="I478" s="28"/>
      <c r="J478" s="28"/>
      <c r="K478" s="28"/>
      <c r="L478" s="50" t="s">
        <v>98</v>
      </c>
      <c r="M478" s="48"/>
      <c r="N478" s="50" t="s">
        <v>98</v>
      </c>
      <c r="O478" s="28"/>
      <c r="P478" s="37"/>
      <c r="Q478" s="28" t="str">
        <f>IF(OR(Table810[[#This Row],[Post-Review Decision]]="Include", Table810[[#This Row],[Post-Review Decision]]="Include if possible", Table810[[#This Row],[Post-Review Decision]]="Include (Omit % Avg if needed)",  Table810[[#This Row],[Post-Review Decision]]="Include (Omit % Avg)"),Table810[[#This Row],[EAR Total Capacity]],"")</f>
        <v/>
      </c>
      <c r="R478" s="28"/>
      <c r="S478" s="45">
        <v>0</v>
      </c>
      <c r="T478" s="28"/>
      <c r="U478" s="28"/>
      <c r="V478" s="13" t="s">
        <v>465</v>
      </c>
      <c r="W478" s="12" t="b">
        <f>ISNUMBER(Table810[[#This Row],[EAR Total Capacity]])</f>
        <v>1</v>
      </c>
      <c r="X478" s="12" t="b">
        <f>IF(Table810[[#This Row],[Has  Storage for Full Averaging Period?]]="OK",TRUE,FALSE)</f>
        <v>0</v>
      </c>
      <c r="Y478" s="12" t="b">
        <f>IFERROR(IF(YEAR(Table810[[#This Row],[RISE Storage End Date]])=2025,TRUE,FALSE),FALSE)</f>
        <v>0</v>
      </c>
      <c r="Z478" s="11" t="b">
        <v>0</v>
      </c>
      <c r="AA478" s="13">
        <v>460</v>
      </c>
      <c r="AB478" s="13" t="s">
        <v>76</v>
      </c>
      <c r="AC478" s="13" t="s">
        <v>2159</v>
      </c>
      <c r="AD478" s="13" t="s">
        <v>2159</v>
      </c>
      <c r="AE478" s="13" t="s">
        <v>101</v>
      </c>
      <c r="AF478" s="13" t="s">
        <v>2160</v>
      </c>
      <c r="AG478" s="13" t="s">
        <v>91</v>
      </c>
      <c r="AH478" s="13" t="s">
        <v>102</v>
      </c>
      <c r="AI478" s="13" t="s">
        <v>110</v>
      </c>
      <c r="AJ478" s="13">
        <v>12</v>
      </c>
      <c r="AK478" s="15"/>
      <c r="AL478" s="15"/>
      <c r="AM478" s="15" t="s">
        <v>61</v>
      </c>
      <c r="AN478" s="15" t="s">
        <v>61</v>
      </c>
      <c r="AO478" s="15" t="s">
        <v>61</v>
      </c>
      <c r="AP478" s="15" t="s">
        <v>61</v>
      </c>
      <c r="AQ478" s="22"/>
      <c r="AR478" s="25"/>
      <c r="AS478" s="25"/>
      <c r="AT478" s="25"/>
      <c r="AU478" s="25"/>
      <c r="AV478" s="25"/>
      <c r="AW478" s="25"/>
      <c r="AX478" s="24"/>
    </row>
    <row r="479" spans="1:50" ht="16.5" customHeight="1">
      <c r="A479" s="36" t="s">
        <v>2161</v>
      </c>
      <c r="B479" s="28"/>
      <c r="C479" s="28" t="s">
        <v>97</v>
      </c>
      <c r="D479" s="28"/>
      <c r="E479" s="28"/>
      <c r="F479" s="28" t="s">
        <v>61</v>
      </c>
      <c r="G479" s="28"/>
      <c r="H479" s="28" t="str">
        <f>IF(ISNUMBER(Table810[[#This Row],[Total Capacity]]),"USBR Enterprise Asset Registry",IF(Table810[[#This Row],[Total Capacity]]="",""))</f>
        <v/>
      </c>
      <c r="I479" s="28"/>
      <c r="J479" s="28"/>
      <c r="K479" s="28"/>
      <c r="L479" s="50" t="s">
        <v>98</v>
      </c>
      <c r="M479" s="48"/>
      <c r="N479" s="50" t="s">
        <v>98</v>
      </c>
      <c r="O479" s="28"/>
      <c r="P479" s="37"/>
      <c r="Q479" s="28" t="str">
        <f>IF(OR(Table810[[#This Row],[Post-Review Decision]]="Include", Table810[[#This Row],[Post-Review Decision]]="Include if possible", Table810[[#This Row],[Post-Review Decision]]="Include (Omit % Avg if needed)",  Table810[[#This Row],[Post-Review Decision]]="Include (Omit % Avg)"),Table810[[#This Row],[EAR Total Capacity]],"")</f>
        <v/>
      </c>
      <c r="R479" s="28"/>
      <c r="S479" s="45">
        <v>0</v>
      </c>
      <c r="T479" s="28"/>
      <c r="U479" s="28"/>
      <c r="V479" s="13" t="s">
        <v>465</v>
      </c>
      <c r="W479" s="12" t="b">
        <f>ISNUMBER(Table810[[#This Row],[EAR Total Capacity]])</f>
        <v>1</v>
      </c>
      <c r="X479" s="12" t="b">
        <f>IF(Table810[[#This Row],[Has  Storage for Full Averaging Period?]]="OK",TRUE,FALSE)</f>
        <v>0</v>
      </c>
      <c r="Y479" s="12" t="b">
        <f>IFERROR(IF(YEAR(Table810[[#This Row],[RISE Storage End Date]])=2025,TRUE,FALSE),FALSE)</f>
        <v>0</v>
      </c>
      <c r="Z479" s="11" t="b">
        <v>0</v>
      </c>
      <c r="AA479" s="13">
        <v>461</v>
      </c>
      <c r="AB479" s="13" t="s">
        <v>76</v>
      </c>
      <c r="AC479" s="13" t="s">
        <v>2161</v>
      </c>
      <c r="AD479" s="13" t="s">
        <v>2161</v>
      </c>
      <c r="AE479" s="13" t="s">
        <v>78</v>
      </c>
      <c r="AF479" s="13" t="s">
        <v>2162</v>
      </c>
      <c r="AG479" s="13" t="s">
        <v>91</v>
      </c>
      <c r="AH479" s="13" t="s">
        <v>102</v>
      </c>
      <c r="AI479" s="13" t="s">
        <v>110</v>
      </c>
      <c r="AJ479" s="13">
        <v>162</v>
      </c>
      <c r="AK479" s="15"/>
      <c r="AL479" s="15"/>
      <c r="AM479" s="15" t="s">
        <v>61</v>
      </c>
      <c r="AN479" s="15" t="s">
        <v>61</v>
      </c>
      <c r="AO479" s="15" t="s">
        <v>61</v>
      </c>
      <c r="AP479" s="15" t="s">
        <v>61</v>
      </c>
      <c r="AQ479" s="21" t="s">
        <v>136</v>
      </c>
      <c r="AR479" s="25"/>
      <c r="AS479" s="25"/>
      <c r="AT479" s="25"/>
      <c r="AU479" s="25"/>
      <c r="AV479" s="25"/>
      <c r="AW479" s="25"/>
      <c r="AX479" s="24"/>
    </row>
    <row r="480" spans="1:50" ht="16.5" customHeight="1">
      <c r="A480" s="36" t="s">
        <v>2163</v>
      </c>
      <c r="B480" s="28"/>
      <c r="C480" s="28" t="s">
        <v>97</v>
      </c>
      <c r="D480" s="28"/>
      <c r="E480" s="28"/>
      <c r="F480" s="28" t="s">
        <v>61</v>
      </c>
      <c r="G480" s="28"/>
      <c r="H480" s="28" t="str">
        <f>IF(ISNUMBER(Table810[[#This Row],[Total Capacity]]),"USBR Enterprise Asset Registry",IF(Table810[[#This Row],[Total Capacity]]="",""))</f>
        <v/>
      </c>
      <c r="I480" s="28"/>
      <c r="J480" s="28"/>
      <c r="K480" s="28"/>
      <c r="L480" s="50" t="s">
        <v>98</v>
      </c>
      <c r="M480" s="48"/>
      <c r="N480" s="50" t="s">
        <v>98</v>
      </c>
      <c r="O480" s="28"/>
      <c r="P480" s="37"/>
      <c r="Q480" s="28" t="str">
        <f>IF(OR(Table810[[#This Row],[Post-Review Decision]]="Include", Table810[[#This Row],[Post-Review Decision]]="Include if possible", Table810[[#This Row],[Post-Review Decision]]="Include (Omit % Avg if needed)",  Table810[[#This Row],[Post-Review Decision]]="Include (Omit % Avg)"),Table810[[#This Row],[EAR Total Capacity]],"")</f>
        <v/>
      </c>
      <c r="R480" s="28"/>
      <c r="S480" s="45">
        <v>0</v>
      </c>
      <c r="T480" s="28"/>
      <c r="U480" s="28"/>
      <c r="V480" s="13" t="s">
        <v>465</v>
      </c>
      <c r="W480" s="12" t="b">
        <f>ISNUMBER(Table810[[#This Row],[EAR Total Capacity]])</f>
        <v>1</v>
      </c>
      <c r="X480" s="12" t="b">
        <f>IF(Table810[[#This Row],[Has  Storage for Full Averaging Period?]]="OK",TRUE,FALSE)</f>
        <v>0</v>
      </c>
      <c r="Y480" s="12" t="b">
        <f>IFERROR(IF(YEAR(Table810[[#This Row],[RISE Storage End Date]])=2025,TRUE,FALSE),FALSE)</f>
        <v>0</v>
      </c>
      <c r="Z480" s="11" t="b">
        <v>0</v>
      </c>
      <c r="AA480" s="13">
        <v>462</v>
      </c>
      <c r="AB480" s="13" t="s">
        <v>76</v>
      </c>
      <c r="AC480" s="13" t="s">
        <v>2163</v>
      </c>
      <c r="AD480" s="13" t="s">
        <v>2163</v>
      </c>
      <c r="AE480" s="13" t="s">
        <v>101</v>
      </c>
      <c r="AF480" s="13" t="s">
        <v>2164</v>
      </c>
      <c r="AG480" s="13" t="s">
        <v>91</v>
      </c>
      <c r="AH480" s="13" t="s">
        <v>102</v>
      </c>
      <c r="AI480" s="13" t="s">
        <v>110</v>
      </c>
      <c r="AJ480" s="13">
        <v>11</v>
      </c>
      <c r="AK480" s="15"/>
      <c r="AL480" s="15"/>
      <c r="AM480" s="15" t="s">
        <v>61</v>
      </c>
      <c r="AN480" s="15" t="s">
        <v>61</v>
      </c>
      <c r="AO480" s="15" t="s">
        <v>61</v>
      </c>
      <c r="AP480" s="15" t="s">
        <v>61</v>
      </c>
      <c r="AQ480" s="22"/>
      <c r="AR480" s="25"/>
      <c r="AS480" s="25"/>
      <c r="AT480" s="25"/>
      <c r="AU480" s="25"/>
      <c r="AV480" s="25"/>
      <c r="AW480" s="25"/>
      <c r="AX480" s="24"/>
    </row>
    <row r="481" spans="1:50" ht="16.5" customHeight="1">
      <c r="A481" s="36" t="s">
        <v>2165</v>
      </c>
      <c r="B481" s="28"/>
      <c r="C481" s="28" t="s">
        <v>97</v>
      </c>
      <c r="D481" s="28"/>
      <c r="E481" s="28"/>
      <c r="F481" s="28" t="s">
        <v>61</v>
      </c>
      <c r="G481" s="28"/>
      <c r="H481" s="28" t="str">
        <f>IF(ISNUMBER(Table810[[#This Row],[Total Capacity]]),"USBR Enterprise Asset Registry",IF(Table810[[#This Row],[Total Capacity]]="",""))</f>
        <v/>
      </c>
      <c r="I481" s="28"/>
      <c r="J481" s="28"/>
      <c r="K481" s="28"/>
      <c r="L481" s="50" t="s">
        <v>98</v>
      </c>
      <c r="M481" s="48"/>
      <c r="N481" s="50" t="s">
        <v>98</v>
      </c>
      <c r="O481" s="28"/>
      <c r="P481" s="37"/>
      <c r="Q481" s="28" t="str">
        <f>IF(OR(Table810[[#This Row],[Post-Review Decision]]="Include", Table810[[#This Row],[Post-Review Decision]]="Include if possible", Table810[[#This Row],[Post-Review Decision]]="Include (Omit % Avg if needed)",  Table810[[#This Row],[Post-Review Decision]]="Include (Omit % Avg)"),Table810[[#This Row],[EAR Total Capacity]],"")</f>
        <v/>
      </c>
      <c r="R481" s="28"/>
      <c r="S481" s="45">
        <v>0</v>
      </c>
      <c r="T481" s="28"/>
      <c r="U481" s="28"/>
      <c r="V481" s="13" t="s">
        <v>465</v>
      </c>
      <c r="W481" s="12" t="b">
        <f>ISNUMBER(Table810[[#This Row],[EAR Total Capacity]])</f>
        <v>1</v>
      </c>
      <c r="X481" s="12" t="b">
        <f>IF(Table810[[#This Row],[Has  Storage for Full Averaging Period?]]="OK",TRUE,FALSE)</f>
        <v>0</v>
      </c>
      <c r="Y481" s="12" t="b">
        <f>IFERROR(IF(YEAR(Table810[[#This Row],[RISE Storage End Date]])=2025,TRUE,FALSE),FALSE)</f>
        <v>0</v>
      </c>
      <c r="Z481" s="11" t="b">
        <v>0</v>
      </c>
      <c r="AA481" s="13">
        <v>463</v>
      </c>
      <c r="AB481" s="13" t="s">
        <v>76</v>
      </c>
      <c r="AC481" s="13" t="s">
        <v>2165</v>
      </c>
      <c r="AD481" s="13" t="s">
        <v>2165</v>
      </c>
      <c r="AE481" s="13" t="s">
        <v>78</v>
      </c>
      <c r="AF481" s="13" t="s">
        <v>2166</v>
      </c>
      <c r="AG481" s="13" t="s">
        <v>91</v>
      </c>
      <c r="AH481" s="13" t="s">
        <v>102</v>
      </c>
      <c r="AI481" s="13" t="s">
        <v>110</v>
      </c>
      <c r="AJ481" s="13">
        <v>108</v>
      </c>
      <c r="AK481" s="15"/>
      <c r="AL481" s="15"/>
      <c r="AM481" s="15" t="s">
        <v>61</v>
      </c>
      <c r="AN481" s="15" t="s">
        <v>61</v>
      </c>
      <c r="AO481" s="15" t="s">
        <v>61</v>
      </c>
      <c r="AP481" s="15" t="s">
        <v>61</v>
      </c>
      <c r="AQ481" s="21" t="s">
        <v>136</v>
      </c>
      <c r="AR481" s="25"/>
      <c r="AS481" s="25"/>
      <c r="AT481" s="25"/>
      <c r="AU481" s="25"/>
      <c r="AV481" s="25"/>
      <c r="AW481" s="25"/>
      <c r="AX481" s="24"/>
    </row>
    <row r="482" spans="1:50" ht="16.5" customHeight="1">
      <c r="A482" s="36" t="s">
        <v>2167</v>
      </c>
      <c r="B482" s="28"/>
      <c r="C482" s="28" t="s">
        <v>97</v>
      </c>
      <c r="D482" s="28"/>
      <c r="E482" s="28"/>
      <c r="F482" s="28" t="s">
        <v>61</v>
      </c>
      <c r="G482" s="28"/>
      <c r="H482" s="28" t="str">
        <f>IF(ISNUMBER(Table810[[#This Row],[Total Capacity]]),"USBR Enterprise Asset Registry",IF(Table810[[#This Row],[Total Capacity]]="",""))</f>
        <v/>
      </c>
      <c r="I482" s="28"/>
      <c r="J482" s="28"/>
      <c r="K482" s="28"/>
      <c r="L482" s="50" t="s">
        <v>98</v>
      </c>
      <c r="M482" s="48"/>
      <c r="N482" s="50" t="s">
        <v>98</v>
      </c>
      <c r="O482" s="28"/>
      <c r="P482" s="37"/>
      <c r="Q482" s="28" t="str">
        <f>IF(OR(Table810[[#This Row],[Post-Review Decision]]="Include", Table810[[#This Row],[Post-Review Decision]]="Include if possible", Table810[[#This Row],[Post-Review Decision]]="Include (Omit % Avg if needed)",  Table810[[#This Row],[Post-Review Decision]]="Include (Omit % Avg)"),Table810[[#This Row],[EAR Total Capacity]],"")</f>
        <v/>
      </c>
      <c r="R482" s="28"/>
      <c r="S482" s="45">
        <v>0</v>
      </c>
      <c r="T482" s="28"/>
      <c r="U482" s="28"/>
      <c r="V482" s="13" t="s">
        <v>465</v>
      </c>
      <c r="W482" s="12" t="b">
        <f>ISNUMBER(Table810[[#This Row],[EAR Total Capacity]])</f>
        <v>1</v>
      </c>
      <c r="X482" s="12" t="b">
        <f>IF(Table810[[#This Row],[Has  Storage for Full Averaging Period?]]="OK",TRUE,FALSE)</f>
        <v>0</v>
      </c>
      <c r="Y482" s="12" t="b">
        <f>IFERROR(IF(YEAR(Table810[[#This Row],[RISE Storage End Date]])=2025,TRUE,FALSE),FALSE)</f>
        <v>0</v>
      </c>
      <c r="Z482" s="11" t="b">
        <v>0</v>
      </c>
      <c r="AA482" s="13">
        <v>464</v>
      </c>
      <c r="AB482" s="13" t="s">
        <v>76</v>
      </c>
      <c r="AC482" s="13" t="s">
        <v>2167</v>
      </c>
      <c r="AD482" s="13" t="s">
        <v>2167</v>
      </c>
      <c r="AE482" s="13" t="s">
        <v>101</v>
      </c>
      <c r="AF482" s="13" t="s">
        <v>2168</v>
      </c>
      <c r="AG482" s="13" t="s">
        <v>91</v>
      </c>
      <c r="AH482" s="13" t="s">
        <v>102</v>
      </c>
      <c r="AI482" s="13" t="s">
        <v>110</v>
      </c>
      <c r="AJ482" s="13">
        <v>6</v>
      </c>
      <c r="AK482" s="15"/>
      <c r="AL482" s="15"/>
      <c r="AM482" s="15" t="s">
        <v>61</v>
      </c>
      <c r="AN482" s="15" t="s">
        <v>61</v>
      </c>
      <c r="AO482" s="15" t="s">
        <v>61</v>
      </c>
      <c r="AP482" s="15" t="s">
        <v>61</v>
      </c>
      <c r="AQ482" s="22"/>
      <c r="AR482" s="25"/>
      <c r="AS482" s="25"/>
      <c r="AT482" s="25"/>
      <c r="AU482" s="25"/>
      <c r="AV482" s="25"/>
      <c r="AW482" s="25"/>
      <c r="AX482" s="24"/>
    </row>
    <row r="483" spans="1:50" ht="16.5" customHeight="1">
      <c r="A483" s="36" t="s">
        <v>2169</v>
      </c>
      <c r="B483" s="28"/>
      <c r="C483" s="28" t="s">
        <v>97</v>
      </c>
      <c r="D483" s="28"/>
      <c r="E483" s="28"/>
      <c r="F483" s="28" t="s">
        <v>61</v>
      </c>
      <c r="G483" s="28"/>
      <c r="H483" s="28" t="str">
        <f>IF(ISNUMBER(Table810[[#This Row],[Total Capacity]]),"USBR Enterprise Asset Registry",IF(Table810[[#This Row],[Total Capacity]]="",""))</f>
        <v/>
      </c>
      <c r="I483" s="28"/>
      <c r="J483" s="28"/>
      <c r="K483" s="28"/>
      <c r="L483" s="50" t="s">
        <v>98</v>
      </c>
      <c r="M483" s="48"/>
      <c r="N483" s="50" t="s">
        <v>98</v>
      </c>
      <c r="O483" s="28"/>
      <c r="P483" s="37"/>
      <c r="Q483" s="28" t="str">
        <f>IF(OR(Table810[[#This Row],[Post-Review Decision]]="Include", Table810[[#This Row],[Post-Review Decision]]="Include if possible", Table810[[#This Row],[Post-Review Decision]]="Include (Omit % Avg if needed)",  Table810[[#This Row],[Post-Review Decision]]="Include (Omit % Avg)"),Table810[[#This Row],[EAR Total Capacity]],"")</f>
        <v/>
      </c>
      <c r="R483" s="28"/>
      <c r="S483" s="45">
        <v>0</v>
      </c>
      <c r="T483" s="28"/>
      <c r="U483" s="28"/>
      <c r="V483" s="13" t="s">
        <v>465</v>
      </c>
      <c r="W483" s="12" t="b">
        <f>ISNUMBER(Table810[[#This Row],[EAR Total Capacity]])</f>
        <v>1</v>
      </c>
      <c r="X483" s="12" t="b">
        <f>IF(Table810[[#This Row],[Has  Storage for Full Averaging Period?]]="OK",TRUE,FALSE)</f>
        <v>0</v>
      </c>
      <c r="Y483" s="12" t="b">
        <f>IFERROR(IF(YEAR(Table810[[#This Row],[RISE Storage End Date]])=2025,TRUE,FALSE),FALSE)</f>
        <v>0</v>
      </c>
      <c r="Z483" s="11" t="b">
        <v>0</v>
      </c>
      <c r="AA483" s="13">
        <v>465</v>
      </c>
      <c r="AB483" s="13" t="s">
        <v>76</v>
      </c>
      <c r="AC483" s="13" t="s">
        <v>2169</v>
      </c>
      <c r="AD483" s="13" t="s">
        <v>2169</v>
      </c>
      <c r="AE483" s="13" t="s">
        <v>101</v>
      </c>
      <c r="AF483" s="13" t="s">
        <v>2170</v>
      </c>
      <c r="AG483" s="13" t="s">
        <v>91</v>
      </c>
      <c r="AH483" s="13" t="s">
        <v>102</v>
      </c>
      <c r="AI483" s="13" t="s">
        <v>110</v>
      </c>
      <c r="AJ483" s="13">
        <v>25</v>
      </c>
      <c r="AK483" s="15"/>
      <c r="AL483" s="15"/>
      <c r="AM483" s="15" t="s">
        <v>61</v>
      </c>
      <c r="AN483" s="15" t="s">
        <v>61</v>
      </c>
      <c r="AO483" s="15" t="s">
        <v>61</v>
      </c>
      <c r="AP483" s="15" t="s">
        <v>61</v>
      </c>
      <c r="AQ483" s="22"/>
      <c r="AR483" s="25"/>
      <c r="AS483" s="25"/>
      <c r="AT483" s="25"/>
      <c r="AU483" s="25"/>
      <c r="AV483" s="25"/>
      <c r="AW483" s="25"/>
      <c r="AX483" s="24"/>
    </row>
    <row r="484" spans="1:50" ht="16.5" customHeight="1">
      <c r="A484" s="36" t="s">
        <v>2171</v>
      </c>
      <c r="B484" s="28"/>
      <c r="C484" s="28" t="s">
        <v>97</v>
      </c>
      <c r="D484" s="28"/>
      <c r="E484" s="28"/>
      <c r="F484" s="28" t="s">
        <v>61</v>
      </c>
      <c r="G484" s="28"/>
      <c r="H484" s="28" t="str">
        <f>IF(ISNUMBER(Table810[[#This Row],[Total Capacity]]),"USBR Enterprise Asset Registry",IF(Table810[[#This Row],[Total Capacity]]="",""))</f>
        <v/>
      </c>
      <c r="I484" s="28"/>
      <c r="J484" s="28"/>
      <c r="K484" s="28"/>
      <c r="L484" s="50" t="s">
        <v>98</v>
      </c>
      <c r="M484" s="48"/>
      <c r="N484" s="50" t="s">
        <v>98</v>
      </c>
      <c r="O484" s="28"/>
      <c r="P484" s="37"/>
      <c r="Q484" s="28" t="str">
        <f>IF(OR(Table810[[#This Row],[Post-Review Decision]]="Include", Table810[[#This Row],[Post-Review Decision]]="Include if possible", Table810[[#This Row],[Post-Review Decision]]="Include (Omit % Avg if needed)",  Table810[[#This Row],[Post-Review Decision]]="Include (Omit % Avg)"),Table810[[#This Row],[EAR Total Capacity]],"")</f>
        <v/>
      </c>
      <c r="R484" s="28"/>
      <c r="S484" s="45">
        <v>0</v>
      </c>
      <c r="T484" s="28"/>
      <c r="U484" s="28"/>
      <c r="V484" s="13" t="s">
        <v>465</v>
      </c>
      <c r="W484" s="12" t="b">
        <f>ISNUMBER(Table810[[#This Row],[EAR Total Capacity]])</f>
        <v>1</v>
      </c>
      <c r="X484" s="12" t="b">
        <f>IF(Table810[[#This Row],[Has  Storage for Full Averaging Period?]]="OK",TRUE,FALSE)</f>
        <v>0</v>
      </c>
      <c r="Y484" s="12" t="b">
        <f>IFERROR(IF(YEAR(Table810[[#This Row],[RISE Storage End Date]])=2025,TRUE,FALSE),FALSE)</f>
        <v>0</v>
      </c>
      <c r="Z484" s="11" t="b">
        <v>0</v>
      </c>
      <c r="AA484" s="13">
        <v>466</v>
      </c>
      <c r="AB484" s="13" t="s">
        <v>76</v>
      </c>
      <c r="AC484" s="13" t="s">
        <v>2171</v>
      </c>
      <c r="AD484" s="13" t="s">
        <v>2171</v>
      </c>
      <c r="AE484" s="13" t="s">
        <v>101</v>
      </c>
      <c r="AF484" s="13" t="s">
        <v>2172</v>
      </c>
      <c r="AG484" s="13" t="s">
        <v>91</v>
      </c>
      <c r="AH484" s="13" t="s">
        <v>102</v>
      </c>
      <c r="AI484" s="13" t="s">
        <v>110</v>
      </c>
      <c r="AJ484" s="13">
        <v>1</v>
      </c>
      <c r="AK484" s="15"/>
      <c r="AL484" s="15"/>
      <c r="AM484" s="15" t="s">
        <v>61</v>
      </c>
      <c r="AN484" s="15" t="s">
        <v>61</v>
      </c>
      <c r="AO484" s="15" t="s">
        <v>61</v>
      </c>
      <c r="AP484" s="15" t="s">
        <v>61</v>
      </c>
      <c r="AQ484" s="22"/>
      <c r="AR484" s="25"/>
      <c r="AS484" s="25"/>
      <c r="AT484" s="25"/>
      <c r="AU484" s="25"/>
      <c r="AV484" s="25"/>
      <c r="AW484" s="25"/>
      <c r="AX484" s="24"/>
    </row>
    <row r="485" spans="1:50" ht="16.5" customHeight="1">
      <c r="A485" s="36" t="s">
        <v>2173</v>
      </c>
      <c r="B485" s="28"/>
      <c r="C485" s="28" t="s">
        <v>97</v>
      </c>
      <c r="D485" s="28"/>
      <c r="E485" s="28"/>
      <c r="F485" s="28" t="s">
        <v>61</v>
      </c>
      <c r="G485" s="28"/>
      <c r="H485" s="28" t="str">
        <f>IF(ISNUMBER(Table810[[#This Row],[Total Capacity]]),"USBR Enterprise Asset Registry",IF(Table810[[#This Row],[Total Capacity]]="",""))</f>
        <v/>
      </c>
      <c r="I485" s="28"/>
      <c r="J485" s="28"/>
      <c r="K485" s="28"/>
      <c r="L485" s="50" t="s">
        <v>98</v>
      </c>
      <c r="M485" s="48"/>
      <c r="N485" s="50" t="s">
        <v>98</v>
      </c>
      <c r="O485" s="28"/>
      <c r="P485" s="37"/>
      <c r="Q485" s="28" t="str">
        <f>IF(OR(Table810[[#This Row],[Post-Review Decision]]="Include", Table810[[#This Row],[Post-Review Decision]]="Include if possible", Table810[[#This Row],[Post-Review Decision]]="Include (Omit % Avg if needed)",  Table810[[#This Row],[Post-Review Decision]]="Include (Omit % Avg)"),Table810[[#This Row],[EAR Total Capacity]],"")</f>
        <v/>
      </c>
      <c r="R485" s="28"/>
      <c r="S485" s="45">
        <v>0</v>
      </c>
      <c r="T485" s="28"/>
      <c r="U485" s="28"/>
      <c r="V485" s="13" t="s">
        <v>465</v>
      </c>
      <c r="W485" s="12" t="b">
        <f>ISNUMBER(Table810[[#This Row],[EAR Total Capacity]])</f>
        <v>1</v>
      </c>
      <c r="X485" s="12" t="b">
        <f>IF(Table810[[#This Row],[Has  Storage for Full Averaging Period?]]="OK",TRUE,FALSE)</f>
        <v>0</v>
      </c>
      <c r="Y485" s="12" t="b">
        <f>IFERROR(IF(YEAR(Table810[[#This Row],[RISE Storage End Date]])=2025,TRUE,FALSE),FALSE)</f>
        <v>0</v>
      </c>
      <c r="Z485" s="11" t="b">
        <v>0</v>
      </c>
      <c r="AA485" s="13">
        <v>467</v>
      </c>
      <c r="AB485" s="13" t="s">
        <v>76</v>
      </c>
      <c r="AC485" s="13" t="s">
        <v>2173</v>
      </c>
      <c r="AD485" s="13" t="s">
        <v>2173</v>
      </c>
      <c r="AE485" s="13" t="s">
        <v>101</v>
      </c>
      <c r="AF485" s="13" t="s">
        <v>2174</v>
      </c>
      <c r="AG485" s="13" t="s">
        <v>91</v>
      </c>
      <c r="AH485" s="13" t="s">
        <v>102</v>
      </c>
      <c r="AI485" s="13" t="s">
        <v>110</v>
      </c>
      <c r="AJ485" s="13">
        <v>18</v>
      </c>
      <c r="AK485" s="15"/>
      <c r="AL485" s="15"/>
      <c r="AM485" s="15" t="s">
        <v>61</v>
      </c>
      <c r="AN485" s="15" t="s">
        <v>61</v>
      </c>
      <c r="AO485" s="15" t="s">
        <v>61</v>
      </c>
      <c r="AP485" s="15" t="s">
        <v>61</v>
      </c>
      <c r="AQ485" s="22"/>
      <c r="AR485" s="25"/>
      <c r="AS485" s="25"/>
      <c r="AT485" s="25"/>
      <c r="AU485" s="25"/>
      <c r="AV485" s="25"/>
      <c r="AW485" s="25"/>
      <c r="AX485" s="24"/>
    </row>
    <row r="486" spans="1:50" ht="16.5" customHeight="1">
      <c r="A486" s="36" t="s">
        <v>2175</v>
      </c>
      <c r="B486" s="28"/>
      <c r="C486" s="28" t="s">
        <v>97</v>
      </c>
      <c r="D486" s="28"/>
      <c r="E486" s="28"/>
      <c r="F486" s="28" t="s">
        <v>61</v>
      </c>
      <c r="G486" s="28"/>
      <c r="H486" s="28" t="str">
        <f>IF(ISNUMBER(Table810[[#This Row],[Total Capacity]]),"USBR Enterprise Asset Registry",IF(Table810[[#This Row],[Total Capacity]]="",""))</f>
        <v/>
      </c>
      <c r="I486" s="28"/>
      <c r="J486" s="28"/>
      <c r="K486" s="28"/>
      <c r="L486" s="50" t="s">
        <v>98</v>
      </c>
      <c r="M486" s="48"/>
      <c r="N486" s="50" t="s">
        <v>98</v>
      </c>
      <c r="O486" s="28"/>
      <c r="P486" s="37"/>
      <c r="Q486" s="28" t="str">
        <f>IF(OR(Table810[[#This Row],[Post-Review Decision]]="Include", Table810[[#This Row],[Post-Review Decision]]="Include if possible", Table810[[#This Row],[Post-Review Decision]]="Include (Omit % Avg if needed)",  Table810[[#This Row],[Post-Review Decision]]="Include (Omit % Avg)"),Table810[[#This Row],[EAR Total Capacity]],"")</f>
        <v/>
      </c>
      <c r="R486" s="28"/>
      <c r="S486" s="45">
        <v>0</v>
      </c>
      <c r="T486" s="28"/>
      <c r="U486" s="28"/>
      <c r="V486" s="13" t="s">
        <v>224</v>
      </c>
      <c r="W486" s="12" t="b">
        <f>ISNUMBER(Table810[[#This Row],[EAR Total Capacity]])</f>
        <v>0</v>
      </c>
      <c r="X486" s="12" t="b">
        <f>IF(Table810[[#This Row],[Has  Storage for Full Averaging Period?]]="OK",TRUE,FALSE)</f>
        <v>0</v>
      </c>
      <c r="Y486" s="12" t="b">
        <f>IFERROR(IF(YEAR(Table810[[#This Row],[RISE Storage End Date]])=2025,TRUE,FALSE),FALSE)</f>
        <v>0</v>
      </c>
      <c r="Z486" s="11" t="b">
        <v>0</v>
      </c>
      <c r="AA486" s="13">
        <v>468</v>
      </c>
      <c r="AB486" s="13" t="s">
        <v>76</v>
      </c>
      <c r="AC486" s="13" t="s">
        <v>2176</v>
      </c>
      <c r="AD486" s="13" t="s">
        <v>2175</v>
      </c>
      <c r="AE486" s="13" t="s">
        <v>101</v>
      </c>
      <c r="AF486" s="13" t="s">
        <v>2177</v>
      </c>
      <c r="AG486" s="13" t="s">
        <v>91</v>
      </c>
      <c r="AH486" s="13" t="s">
        <v>102</v>
      </c>
      <c r="AI486" s="13" t="s">
        <v>103</v>
      </c>
      <c r="AJ486" s="13"/>
      <c r="AK486" s="15"/>
      <c r="AL486" s="15"/>
      <c r="AM486" s="15" t="s">
        <v>61</v>
      </c>
      <c r="AN486" s="15" t="s">
        <v>61</v>
      </c>
      <c r="AO486" s="15" t="s">
        <v>61</v>
      </c>
      <c r="AP486" s="15" t="s">
        <v>61</v>
      </c>
      <c r="AQ486" s="22"/>
      <c r="AR486" s="25"/>
      <c r="AS486" s="25"/>
      <c r="AT486" s="25"/>
      <c r="AU486" s="25"/>
      <c r="AV486" s="25"/>
      <c r="AW486" s="25"/>
      <c r="AX486" s="24"/>
    </row>
    <row r="487" spans="1:50" ht="16.5" customHeight="1">
      <c r="A487" s="36" t="s">
        <v>2178</v>
      </c>
      <c r="B487" s="28" t="s">
        <v>68</v>
      </c>
      <c r="C487" s="29" t="s">
        <v>86</v>
      </c>
      <c r="D487" s="29"/>
      <c r="E487" s="28" t="s">
        <v>70</v>
      </c>
      <c r="F487" s="28">
        <v>506</v>
      </c>
      <c r="G487" s="28">
        <v>3</v>
      </c>
      <c r="H487" s="29" t="str">
        <f>IF(ISNUMBER(Table810[[#This Row],[Total Capacity]]),"USBR Enterprise Asset Registry",IF(Table810[[#This Row],[Total Capacity]]="",""))</f>
        <v>USBR Enterprise Asset Registry</v>
      </c>
      <c r="I487" s="28" t="s">
        <v>57</v>
      </c>
      <c r="J487" s="28" t="s">
        <v>127</v>
      </c>
      <c r="K487" s="33">
        <v>183353</v>
      </c>
      <c r="L487" s="50">
        <v>76157</v>
      </c>
      <c r="M487" s="48"/>
      <c r="N487" s="50">
        <v>76157</v>
      </c>
      <c r="O487" s="28"/>
      <c r="P487" s="38" t="s">
        <v>2179</v>
      </c>
      <c r="Q487" s="29">
        <f>IF(OR(Table810[[#This Row],[Post-Review Decision]]="Include", Table810[[#This Row],[Post-Review Decision]]="Include if possible", Table810[[#This Row],[Post-Review Decision]]="Include (Omit % Avg if needed)",  Table810[[#This Row],[Post-Review Decision]]="Include (Omit % Avg)"),Table810[[#This Row],[EAR Total Capacity]],"")</f>
        <v>259510</v>
      </c>
      <c r="R487" s="29">
        <v>255279</v>
      </c>
      <c r="S487" s="46">
        <v>258254</v>
      </c>
      <c r="T487" s="29" t="s">
        <v>2178</v>
      </c>
      <c r="U487" s="29" t="s">
        <v>2180</v>
      </c>
      <c r="V487" s="13" t="s">
        <v>2181</v>
      </c>
      <c r="W487" s="12" t="b">
        <f>ISNUMBER(Table810[[#This Row],[EAR Total Capacity]])</f>
        <v>1</v>
      </c>
      <c r="X487" s="12" t="b">
        <f>IF(Table810[[#This Row],[Has  Storage for Full Averaging Period?]]="OK",TRUE,FALSE)</f>
        <v>1</v>
      </c>
      <c r="Y487" s="12" t="b">
        <f>IFERROR(IF(YEAR(Table810[[#This Row],[RISE Storage End Date]])=2025,TRUE,FALSE),FALSE)</f>
        <v>1</v>
      </c>
      <c r="Z487" s="11" t="b">
        <v>0</v>
      </c>
      <c r="AA487" s="13">
        <v>469</v>
      </c>
      <c r="AB487" s="13" t="s">
        <v>76</v>
      </c>
      <c r="AC487" s="13" t="s">
        <v>2182</v>
      </c>
      <c r="AD487" s="13" t="s">
        <v>2178</v>
      </c>
      <c r="AE487" s="13" t="s">
        <v>78</v>
      </c>
      <c r="AF487" s="13" t="s">
        <v>2183</v>
      </c>
      <c r="AG487" s="13" t="s">
        <v>109</v>
      </c>
      <c r="AH487" s="13" t="s">
        <v>92</v>
      </c>
      <c r="AI487" s="13" t="s">
        <v>93</v>
      </c>
      <c r="AJ487" s="13">
        <v>259510</v>
      </c>
      <c r="AK487" s="18"/>
      <c r="AL487" s="18"/>
      <c r="AM487" s="13" t="s">
        <v>2184</v>
      </c>
      <c r="AN487" s="13" t="s">
        <v>95</v>
      </c>
      <c r="AO487" s="13" t="s">
        <v>2178</v>
      </c>
      <c r="AP487" s="13" t="s">
        <v>2178</v>
      </c>
      <c r="AQ487" s="21" t="s">
        <v>64</v>
      </c>
      <c r="AR487" s="26">
        <v>27760</v>
      </c>
      <c r="AS487" s="26">
        <v>46007</v>
      </c>
      <c r="AT487" s="25">
        <v>14675</v>
      </c>
      <c r="AU487" s="25" t="s">
        <v>65</v>
      </c>
      <c r="AV487" s="25" t="s">
        <v>65</v>
      </c>
      <c r="AW487" s="25" t="s">
        <v>65</v>
      </c>
      <c r="AX487" s="24"/>
    </row>
    <row r="488" spans="1:50" ht="16.5" customHeight="1">
      <c r="A488" s="36" t="s">
        <v>2185</v>
      </c>
      <c r="B488" s="28"/>
      <c r="C488" s="28" t="s">
        <v>97</v>
      </c>
      <c r="D488" s="28"/>
      <c r="E488" s="28"/>
      <c r="F488" s="28" t="s">
        <v>61</v>
      </c>
      <c r="G488" s="28"/>
      <c r="H488" s="28" t="str">
        <f>IF(ISNUMBER(Table810[[#This Row],[Total Capacity]]),"USBR Enterprise Asset Registry",IF(Table810[[#This Row],[Total Capacity]]="",""))</f>
        <v/>
      </c>
      <c r="I488" s="28"/>
      <c r="J488" s="28"/>
      <c r="K488" s="28"/>
      <c r="L488" s="50" t="s">
        <v>98</v>
      </c>
      <c r="M488" s="48"/>
      <c r="N488" s="50" t="s">
        <v>98</v>
      </c>
      <c r="O488" s="28"/>
      <c r="P488" s="37"/>
      <c r="Q488" s="28" t="str">
        <f>IF(OR(Table810[[#This Row],[Post-Review Decision]]="Include", Table810[[#This Row],[Post-Review Decision]]="Include if possible", Table810[[#This Row],[Post-Review Decision]]="Include (Omit % Avg if needed)",  Table810[[#This Row],[Post-Review Decision]]="Include (Omit % Avg)"),Table810[[#This Row],[EAR Total Capacity]],"")</f>
        <v/>
      </c>
      <c r="R488" s="28"/>
      <c r="S488" s="45">
        <v>0</v>
      </c>
      <c r="T488" s="28"/>
      <c r="U488" s="28"/>
      <c r="V488" s="13" t="s">
        <v>341</v>
      </c>
      <c r="W488" s="12" t="b">
        <f>ISNUMBER(Table810[[#This Row],[EAR Total Capacity]])</f>
        <v>0</v>
      </c>
      <c r="X488" s="12" t="b">
        <f>IF(Table810[[#This Row],[Has  Storage for Full Averaging Period?]]="OK",TRUE,FALSE)</f>
        <v>0</v>
      </c>
      <c r="Y488" s="12" t="b">
        <f>IFERROR(IF(YEAR(Table810[[#This Row],[RISE Storage End Date]])=2025,TRUE,FALSE),FALSE)</f>
        <v>0</v>
      </c>
      <c r="Z488" s="11" t="b">
        <v>0</v>
      </c>
      <c r="AA488" s="13">
        <v>470</v>
      </c>
      <c r="AB488" s="13" t="s">
        <v>76</v>
      </c>
      <c r="AC488" s="13" t="s">
        <v>2186</v>
      </c>
      <c r="AD488" s="13" t="s">
        <v>2185</v>
      </c>
      <c r="AE488" s="13" t="s">
        <v>343</v>
      </c>
      <c r="AF488" s="13" t="s">
        <v>344</v>
      </c>
      <c r="AG488" s="13" t="s">
        <v>109</v>
      </c>
      <c r="AH488" s="13" t="s">
        <v>92</v>
      </c>
      <c r="AI488" s="13" t="s">
        <v>110</v>
      </c>
      <c r="AJ488" s="13"/>
      <c r="AK488" s="15"/>
      <c r="AL488" s="15"/>
      <c r="AM488" s="15" t="s">
        <v>61</v>
      </c>
      <c r="AN488" s="15" t="s">
        <v>61</v>
      </c>
      <c r="AO488" s="15" t="s">
        <v>61</v>
      </c>
      <c r="AP488" s="15" t="s">
        <v>61</v>
      </c>
      <c r="AQ488" s="21" t="s">
        <v>136</v>
      </c>
      <c r="AR488" s="25"/>
      <c r="AS488" s="25"/>
      <c r="AT488" s="25"/>
      <c r="AU488" s="25"/>
      <c r="AV488" s="25"/>
      <c r="AW488" s="25"/>
      <c r="AX488" s="24"/>
    </row>
    <row r="489" spans="1:50" ht="16.5" customHeight="1">
      <c r="A489" s="36" t="s">
        <v>2187</v>
      </c>
      <c r="B489" s="28"/>
      <c r="C489" s="28" t="s">
        <v>97</v>
      </c>
      <c r="D489" s="28"/>
      <c r="E489" s="28"/>
      <c r="F489" s="28" t="s">
        <v>61</v>
      </c>
      <c r="G489" s="28"/>
      <c r="H489" s="28" t="str">
        <f>IF(ISNUMBER(Table810[[#This Row],[Total Capacity]]),"USBR Enterprise Asset Registry",IF(Table810[[#This Row],[Total Capacity]]="",""))</f>
        <v/>
      </c>
      <c r="I489" s="28"/>
      <c r="J489" s="28"/>
      <c r="K489" s="28"/>
      <c r="L489" s="50" t="s">
        <v>98</v>
      </c>
      <c r="M489" s="48"/>
      <c r="N489" s="50" t="s">
        <v>98</v>
      </c>
      <c r="O489" s="28"/>
      <c r="P489" s="37"/>
      <c r="Q489" s="28" t="str">
        <f>IF(OR(Table810[[#This Row],[Post-Review Decision]]="Include", Table810[[#This Row],[Post-Review Decision]]="Include if possible", Table810[[#This Row],[Post-Review Decision]]="Include (Omit % Avg if needed)",  Table810[[#This Row],[Post-Review Decision]]="Include (Omit % Avg)"),Table810[[#This Row],[EAR Total Capacity]],"")</f>
        <v/>
      </c>
      <c r="R489" s="28"/>
      <c r="S489" s="45">
        <v>0</v>
      </c>
      <c r="T489" s="28"/>
      <c r="U489" s="28"/>
      <c r="V489" s="13" t="s">
        <v>107</v>
      </c>
      <c r="W489" s="12" t="b">
        <f>ISNUMBER(Table810[[#This Row],[EAR Total Capacity]])</f>
        <v>0</v>
      </c>
      <c r="X489" s="12" t="b">
        <f>IF(Table810[[#This Row],[Has  Storage for Full Averaging Period?]]="OK",TRUE,FALSE)</f>
        <v>0</v>
      </c>
      <c r="Y489" s="12" t="b">
        <f>IFERROR(IF(YEAR(Table810[[#This Row],[RISE Storage End Date]])=2025,TRUE,FALSE),FALSE)</f>
        <v>0</v>
      </c>
      <c r="Z489" s="11" t="b">
        <v>0</v>
      </c>
      <c r="AA489" s="13">
        <v>471</v>
      </c>
      <c r="AB489" s="13" t="s">
        <v>76</v>
      </c>
      <c r="AC489" s="13" t="s">
        <v>2188</v>
      </c>
      <c r="AD489" s="13" t="s">
        <v>2187</v>
      </c>
      <c r="AE489" s="13" t="s">
        <v>78</v>
      </c>
      <c r="AF489" s="13" t="s">
        <v>2189</v>
      </c>
      <c r="AG489" s="13" t="s">
        <v>91</v>
      </c>
      <c r="AH489" s="13" t="s">
        <v>92</v>
      </c>
      <c r="AI489" s="13" t="s">
        <v>103</v>
      </c>
      <c r="AJ489" s="13"/>
      <c r="AK489" s="15"/>
      <c r="AL489" s="15"/>
      <c r="AM489" s="15" t="s">
        <v>61</v>
      </c>
      <c r="AN489" s="15" t="s">
        <v>61</v>
      </c>
      <c r="AO489" s="15" t="s">
        <v>61</v>
      </c>
      <c r="AP489" s="15" t="s">
        <v>61</v>
      </c>
      <c r="AQ489" s="21" t="s">
        <v>136</v>
      </c>
      <c r="AR489" s="25"/>
      <c r="AS489" s="25"/>
      <c r="AT489" s="25"/>
      <c r="AU489" s="25"/>
      <c r="AV489" s="25"/>
      <c r="AW489" s="25"/>
      <c r="AX489" s="24"/>
    </row>
    <row r="490" spans="1:50" ht="16.5" customHeight="1">
      <c r="A490" s="36" t="s">
        <v>2190</v>
      </c>
      <c r="B490" s="28"/>
      <c r="C490" s="28" t="s">
        <v>97</v>
      </c>
      <c r="D490" s="28"/>
      <c r="E490" s="28"/>
      <c r="F490" s="28">
        <v>3662</v>
      </c>
      <c r="G490" s="28"/>
      <c r="H490" s="28" t="str">
        <f>IF(ISNUMBER(Table810[[#This Row],[Total Capacity]]),"USBR Enterprise Asset Registry",IF(Table810[[#This Row],[Total Capacity]]="",""))</f>
        <v/>
      </c>
      <c r="I490" s="28"/>
      <c r="J490" s="28"/>
      <c r="K490" s="28"/>
      <c r="L490" s="50" t="s">
        <v>98</v>
      </c>
      <c r="M490" s="48"/>
      <c r="N490" s="50" t="s">
        <v>98</v>
      </c>
      <c r="O490" s="28"/>
      <c r="P490" s="37"/>
      <c r="Q490" s="28" t="str">
        <f>IF(OR(Table810[[#This Row],[Post-Review Decision]]="Include", Table810[[#This Row],[Post-Review Decision]]="Include if possible", Table810[[#This Row],[Post-Review Decision]]="Include (Omit % Avg if needed)",  Table810[[#This Row],[Post-Review Decision]]="Include (Omit % Avg)"),Table810[[#This Row],[EAR Total Capacity]],"")</f>
        <v/>
      </c>
      <c r="R490" s="28"/>
      <c r="S490" s="45" t="s">
        <v>59</v>
      </c>
      <c r="T490" s="28"/>
      <c r="U490" s="28"/>
      <c r="V490" s="17" t="s">
        <v>61</v>
      </c>
      <c r="W490" s="12" t="b">
        <f>ISNUMBER(Table810[[#This Row],[EAR Total Capacity]])</f>
        <v>0</v>
      </c>
      <c r="X490" s="12" t="b">
        <f>IF(Table810[[#This Row],[Has  Storage for Full Averaging Period?]]="OK",TRUE,FALSE)</f>
        <v>0</v>
      </c>
      <c r="Y490" s="12" t="b">
        <f>IFERROR(IF(YEAR(Table810[[#This Row],[RISE Storage End Date]])=2025,TRUE,FALSE),FALSE)</f>
        <v>0</v>
      </c>
      <c r="Z490" s="11" t="b">
        <v>0</v>
      </c>
      <c r="AA490" s="16" t="s">
        <v>61</v>
      </c>
      <c r="AB490" s="17" t="s">
        <v>61</v>
      </c>
      <c r="AC490" s="17" t="s">
        <v>61</v>
      </c>
      <c r="AD490" s="17" t="s">
        <v>61</v>
      </c>
      <c r="AE490" s="17" t="s">
        <v>61</v>
      </c>
      <c r="AF490" s="17" t="s">
        <v>61</v>
      </c>
      <c r="AG490" s="17" t="s">
        <v>61</v>
      </c>
      <c r="AH490" s="17" t="s">
        <v>61</v>
      </c>
      <c r="AI490" s="17" t="s">
        <v>61</v>
      </c>
      <c r="AJ490" s="17" t="s">
        <v>61</v>
      </c>
      <c r="AK490" s="18"/>
      <c r="AL490" s="18"/>
      <c r="AM490" s="13" t="s">
        <v>2191</v>
      </c>
      <c r="AN490" s="11" t="s">
        <v>84</v>
      </c>
      <c r="AO490" s="11" t="s">
        <v>2190</v>
      </c>
      <c r="AP490" s="11" t="s">
        <v>2192</v>
      </c>
      <c r="AQ490" s="21" t="s">
        <v>136</v>
      </c>
      <c r="AR490" s="25"/>
      <c r="AS490" s="25"/>
      <c r="AT490" s="25"/>
      <c r="AU490" s="25"/>
      <c r="AV490" s="25"/>
      <c r="AW490" s="25"/>
      <c r="AX490" s="23"/>
    </row>
    <row r="491" spans="1:50" ht="16.5" customHeight="1">
      <c r="A491" s="36" t="s">
        <v>2193</v>
      </c>
      <c r="B491" s="28" t="s">
        <v>68</v>
      </c>
      <c r="C491" s="28" t="s">
        <v>86</v>
      </c>
      <c r="D491" s="28"/>
      <c r="E491" s="28" t="s">
        <v>70</v>
      </c>
      <c r="F491" s="28">
        <v>509</v>
      </c>
      <c r="G491" s="28">
        <v>3</v>
      </c>
      <c r="H491" s="28" t="str">
        <f>IF(ISNUMBER(Table810[[#This Row],[Total Capacity]]),"USBR Enterprise Asset Registry",IF(Table810[[#This Row],[Total Capacity]]="",""))</f>
        <v>USBR Enterprise Asset Registry</v>
      </c>
      <c r="I491" s="28" t="s">
        <v>57</v>
      </c>
      <c r="J491" s="28"/>
      <c r="K491" s="28"/>
      <c r="L491" s="50">
        <v>241096</v>
      </c>
      <c r="M491" s="48"/>
      <c r="N491" s="50">
        <v>241096</v>
      </c>
      <c r="O491" s="28"/>
      <c r="P491" s="37"/>
      <c r="Q491" s="28">
        <f>IF(OR(Table810[[#This Row],[Post-Review Decision]]="Include", Table810[[#This Row],[Post-Review Decision]]="Include if possible", Table810[[#This Row],[Post-Review Decision]]="Include (Omit % Avg if needed)",  Table810[[#This Row],[Post-Review Decision]]="Include (Omit % Avg)"),Table810[[#This Row],[EAR Total Capacity]],"")</f>
        <v>241096</v>
      </c>
      <c r="R491" s="28">
        <v>213554</v>
      </c>
      <c r="S491" s="46">
        <v>241088</v>
      </c>
      <c r="T491" s="28" t="s">
        <v>2193</v>
      </c>
      <c r="U491" s="28" t="s">
        <v>2194</v>
      </c>
      <c r="V491" s="13" t="s">
        <v>358</v>
      </c>
      <c r="W491" s="12" t="b">
        <f>ISNUMBER(Table810[[#This Row],[EAR Total Capacity]])</f>
        <v>1</v>
      </c>
      <c r="X491" s="12" t="b">
        <f>IF(Table810[[#This Row],[Has  Storage for Full Averaging Period?]]="OK",TRUE,FALSE)</f>
        <v>1</v>
      </c>
      <c r="Y491" s="12" t="b">
        <f>IFERROR(IF(YEAR(Table810[[#This Row],[RISE Storage End Date]])=2025,TRUE,FALSE),FALSE)</f>
        <v>1</v>
      </c>
      <c r="Z491" s="11" t="b">
        <v>0</v>
      </c>
      <c r="AA491" s="13">
        <v>472</v>
      </c>
      <c r="AB491" s="13" t="s">
        <v>76</v>
      </c>
      <c r="AC491" s="13" t="s">
        <v>2195</v>
      </c>
      <c r="AD491" s="13" t="s">
        <v>2193</v>
      </c>
      <c r="AE491" s="13" t="s">
        <v>78</v>
      </c>
      <c r="AF491" s="13" t="s">
        <v>2196</v>
      </c>
      <c r="AG491" s="13" t="s">
        <v>159</v>
      </c>
      <c r="AH491" s="13" t="s">
        <v>160</v>
      </c>
      <c r="AI491" s="13" t="s">
        <v>82</v>
      </c>
      <c r="AJ491" s="13">
        <v>241096</v>
      </c>
      <c r="AK491" s="18"/>
      <c r="AL491" s="18"/>
      <c r="AM491" s="13" t="s">
        <v>2197</v>
      </c>
      <c r="AN491" s="13" t="s">
        <v>246</v>
      </c>
      <c r="AO491" s="13" t="s">
        <v>2193</v>
      </c>
      <c r="AP491" s="13" t="s">
        <v>2193</v>
      </c>
      <c r="AQ491" s="21" t="s">
        <v>64</v>
      </c>
      <c r="AR491" s="26">
        <v>23132</v>
      </c>
      <c r="AS491" s="26">
        <v>46007</v>
      </c>
      <c r="AT491" s="25">
        <v>22694</v>
      </c>
      <c r="AU491" s="25" t="s">
        <v>65</v>
      </c>
      <c r="AV491" s="25" t="s">
        <v>65</v>
      </c>
      <c r="AW491" s="25" t="s">
        <v>65</v>
      </c>
      <c r="AX491" s="24"/>
    </row>
    <row r="492" spans="1:50" ht="16.5" customHeight="1">
      <c r="A492" s="36" t="s">
        <v>2198</v>
      </c>
      <c r="B492" s="28" t="s">
        <v>68</v>
      </c>
      <c r="C492" s="28" t="s">
        <v>69</v>
      </c>
      <c r="D492" s="28"/>
      <c r="E492" s="28" t="s">
        <v>70</v>
      </c>
      <c r="F492" s="28">
        <v>7201</v>
      </c>
      <c r="G492" s="28">
        <v>3</v>
      </c>
      <c r="H492" s="28" t="str">
        <f>IF(ISNUMBER(Table810[[#This Row],[Total Capacity]]),"USBR Enterprise Asset Registry",IF(Table810[[#This Row],[Total Capacity]]="",""))</f>
        <v>USBR Enterprise Asset Registry</v>
      </c>
      <c r="I492" s="28" t="s">
        <v>71</v>
      </c>
      <c r="J492" s="28" t="s">
        <v>72</v>
      </c>
      <c r="K492" s="28"/>
      <c r="L492" s="50">
        <v>200000</v>
      </c>
      <c r="M492" s="48"/>
      <c r="N492" s="50">
        <v>200000</v>
      </c>
      <c r="O492" s="28"/>
      <c r="P492" s="37"/>
      <c r="Q492" s="28">
        <f>IF(OR(Table810[[#This Row],[Post-Review Decision]]="Include", Table810[[#This Row],[Post-Review Decision]]="Include if possible", Table810[[#This Row],[Post-Review Decision]]="Include (Omit % Avg if needed)",  Table810[[#This Row],[Post-Review Decision]]="Include (Omit % Avg)"),Table810[[#This Row],[EAR Total Capacity]],"")</f>
        <v>200000</v>
      </c>
      <c r="R492" s="28">
        <v>200000</v>
      </c>
      <c r="S492" s="45">
        <v>0</v>
      </c>
      <c r="T492" s="28" t="s">
        <v>2198</v>
      </c>
      <c r="U492" s="28" t="s">
        <v>2199</v>
      </c>
      <c r="V492" s="13" t="s">
        <v>579</v>
      </c>
      <c r="W492" s="12" t="b">
        <f>ISNUMBER(Table810[[#This Row],[EAR Total Capacity]])</f>
        <v>1</v>
      </c>
      <c r="X492" s="12" t="s">
        <v>75</v>
      </c>
      <c r="Y492" s="12" t="b">
        <f>IFERROR(IF(YEAR(Table810[[#This Row],[RISE Storage End Date]])=2025,TRUE,FALSE),FALSE)</f>
        <v>0</v>
      </c>
      <c r="Z492" s="11" t="b">
        <v>0</v>
      </c>
      <c r="AA492" s="13">
        <v>473</v>
      </c>
      <c r="AB492" s="13" t="s">
        <v>76</v>
      </c>
      <c r="AC492" s="13" t="s">
        <v>2200</v>
      </c>
      <c r="AD492" s="13" t="s">
        <v>2198</v>
      </c>
      <c r="AE492" s="13" t="s">
        <v>78</v>
      </c>
      <c r="AF492" s="13" t="s">
        <v>2201</v>
      </c>
      <c r="AG492" s="13" t="s">
        <v>80</v>
      </c>
      <c r="AH492" s="13" t="s">
        <v>81</v>
      </c>
      <c r="AI492" s="13" t="s">
        <v>93</v>
      </c>
      <c r="AJ492" s="19">
        <v>200000</v>
      </c>
      <c r="AK492" s="18"/>
      <c r="AL492" s="18"/>
      <c r="AM492" s="13" t="s">
        <v>2202</v>
      </c>
      <c r="AN492" s="13" t="s">
        <v>84</v>
      </c>
      <c r="AO492" s="13" t="s">
        <v>2198</v>
      </c>
      <c r="AP492" s="13" t="s">
        <v>2198</v>
      </c>
      <c r="AQ492" s="21" t="s">
        <v>64</v>
      </c>
      <c r="AR492" s="25"/>
      <c r="AS492" s="25"/>
      <c r="AT492" s="25"/>
      <c r="AU492" s="25"/>
      <c r="AV492" s="25"/>
      <c r="AW492" s="25"/>
      <c r="AX492" s="24"/>
    </row>
    <row r="493" spans="1:50" ht="16.5" customHeight="1">
      <c r="A493" s="36" t="s">
        <v>2203</v>
      </c>
      <c r="B493" s="28" t="s">
        <v>68</v>
      </c>
      <c r="C493" s="28" t="s">
        <v>86</v>
      </c>
      <c r="D493" s="28"/>
      <c r="E493" s="28" t="s">
        <v>70</v>
      </c>
      <c r="F493" s="28">
        <v>512</v>
      </c>
      <c r="G493" s="28">
        <v>3</v>
      </c>
      <c r="H493" s="28" t="str">
        <f>IF(ISNUMBER(Table810[[#This Row],[Total Capacity]]),"USBR Enterprise Asset Registry",IF(Table810[[#This Row],[Total Capacity]]="",""))</f>
        <v>USBR Enterprise Asset Registry</v>
      </c>
      <c r="I493" s="28" t="s">
        <v>257</v>
      </c>
      <c r="J493" s="28" t="s">
        <v>72</v>
      </c>
      <c r="K493" s="28"/>
      <c r="L493" s="50">
        <v>222273</v>
      </c>
      <c r="M493" s="48"/>
      <c r="N493" s="50">
        <v>222273</v>
      </c>
      <c r="O493" s="28"/>
      <c r="P493" s="37"/>
      <c r="Q493" s="28">
        <f>IF(OR(Table810[[#This Row],[Post-Review Decision]]="Include", Table810[[#This Row],[Post-Review Decision]]="Include if possible", Table810[[#This Row],[Post-Review Decision]]="Include (Omit % Avg if needed)",  Table810[[#This Row],[Post-Review Decision]]="Include (Omit % Avg)"),Table810[[#This Row],[EAR Total Capacity]],"")</f>
        <v>247302</v>
      </c>
      <c r="R493" s="28">
        <v>202160</v>
      </c>
      <c r="S493" s="46">
        <v>222273</v>
      </c>
      <c r="T493" s="28" t="s">
        <v>2204</v>
      </c>
      <c r="U493" s="28" t="s">
        <v>2205</v>
      </c>
      <c r="V493" s="13" t="s">
        <v>465</v>
      </c>
      <c r="W493" s="12" t="b">
        <f>ISNUMBER(Table810[[#This Row],[EAR Total Capacity]])</f>
        <v>1</v>
      </c>
      <c r="X493" s="12" t="b">
        <f>IF(Table810[[#This Row],[Has  Storage for Full Averaging Period?]]="OK",TRUE,FALSE)</f>
        <v>1</v>
      </c>
      <c r="Y493" s="12" t="b">
        <f>IFERROR(IF(YEAR(Table810[[#This Row],[RISE Storage End Date]])=2025,TRUE,FALSE),FALSE)</f>
        <v>1</v>
      </c>
      <c r="Z493" s="11" t="b">
        <v>0</v>
      </c>
      <c r="AA493" s="13">
        <v>474</v>
      </c>
      <c r="AB493" s="13" t="s">
        <v>76</v>
      </c>
      <c r="AC493" s="13" t="s">
        <v>2206</v>
      </c>
      <c r="AD493" s="13" t="s">
        <v>2203</v>
      </c>
      <c r="AE493" s="13" t="s">
        <v>78</v>
      </c>
      <c r="AF493" s="13" t="s">
        <v>2207</v>
      </c>
      <c r="AG493" s="13" t="s">
        <v>91</v>
      </c>
      <c r="AH493" s="13" t="s">
        <v>102</v>
      </c>
      <c r="AI493" s="13" t="s">
        <v>82</v>
      </c>
      <c r="AJ493" s="13">
        <v>247302</v>
      </c>
      <c r="AK493" s="18"/>
      <c r="AL493" s="18"/>
      <c r="AM493" s="13" t="s">
        <v>2208</v>
      </c>
      <c r="AN493" s="13" t="s">
        <v>63</v>
      </c>
      <c r="AO493" s="13" t="s">
        <v>2203</v>
      </c>
      <c r="AP493" s="13" t="s">
        <v>2209</v>
      </c>
      <c r="AQ493" s="21" t="s">
        <v>64</v>
      </c>
      <c r="AR493" s="26">
        <v>31403</v>
      </c>
      <c r="AS493" s="26">
        <v>46007</v>
      </c>
      <c r="AT493" s="25">
        <v>14606</v>
      </c>
      <c r="AU493" s="25" t="s">
        <v>65</v>
      </c>
      <c r="AV493" s="25" t="s">
        <v>65</v>
      </c>
      <c r="AW493" s="25" t="s">
        <v>65</v>
      </c>
      <c r="AX493" s="24"/>
    </row>
    <row r="494" spans="1:50" ht="16.5" customHeight="1">
      <c r="A494" s="36" t="s">
        <v>2210</v>
      </c>
      <c r="B494" s="28"/>
      <c r="C494" s="28" t="s">
        <v>97</v>
      </c>
      <c r="D494" s="28"/>
      <c r="E494" s="28"/>
      <c r="F494" s="28" t="s">
        <v>61</v>
      </c>
      <c r="G494" s="28"/>
      <c r="H494" s="28" t="str">
        <f>IF(ISNUMBER(Table810[[#This Row],[Total Capacity]]),"USBR Enterprise Asset Registry",IF(Table810[[#This Row],[Total Capacity]]="",""))</f>
        <v/>
      </c>
      <c r="I494" s="28"/>
      <c r="J494" s="28"/>
      <c r="K494" s="28"/>
      <c r="L494" s="50" t="s">
        <v>98</v>
      </c>
      <c r="M494" s="48"/>
      <c r="N494" s="50" t="s">
        <v>98</v>
      </c>
      <c r="O494" s="28"/>
      <c r="P494" s="37"/>
      <c r="Q494" s="28" t="str">
        <f>IF(OR(Table810[[#This Row],[Post-Review Decision]]="Include", Table810[[#This Row],[Post-Review Decision]]="Include if possible", Table810[[#This Row],[Post-Review Decision]]="Include (Omit % Avg if needed)",  Table810[[#This Row],[Post-Review Decision]]="Include (Omit % Avg)"),Table810[[#This Row],[EAR Total Capacity]],"")</f>
        <v/>
      </c>
      <c r="R494" s="28"/>
      <c r="S494" s="45">
        <v>0</v>
      </c>
      <c r="T494" s="28"/>
      <c r="U494" s="28"/>
      <c r="V494" s="13" t="s">
        <v>264</v>
      </c>
      <c r="W494" s="12" t="b">
        <f>ISNUMBER(Table810[[#This Row],[EAR Total Capacity]])</f>
        <v>0</v>
      </c>
      <c r="X494" s="12" t="b">
        <f>IF(Table810[[#This Row],[Has  Storage for Full Averaging Period?]]="OK",TRUE,FALSE)</f>
        <v>0</v>
      </c>
      <c r="Y494" s="12" t="b">
        <f>IFERROR(IF(YEAR(Table810[[#This Row],[RISE Storage End Date]])=2025,TRUE,FALSE),FALSE)</f>
        <v>0</v>
      </c>
      <c r="Z494" s="11" t="b">
        <v>0</v>
      </c>
      <c r="AA494" s="13">
        <v>475</v>
      </c>
      <c r="AB494" s="13" t="s">
        <v>76</v>
      </c>
      <c r="AC494" s="13" t="s">
        <v>2211</v>
      </c>
      <c r="AD494" s="13" t="s">
        <v>2210</v>
      </c>
      <c r="AE494" s="13" t="s">
        <v>78</v>
      </c>
      <c r="AF494" s="13" t="s">
        <v>2212</v>
      </c>
      <c r="AG494" s="13" t="s">
        <v>91</v>
      </c>
      <c r="AH494" s="13" t="s">
        <v>92</v>
      </c>
      <c r="AI494" s="13" t="s">
        <v>110</v>
      </c>
      <c r="AJ494" s="13"/>
      <c r="AK494" s="15"/>
      <c r="AL494" s="15"/>
      <c r="AM494" s="15" t="s">
        <v>61</v>
      </c>
      <c r="AN494" s="15" t="s">
        <v>61</v>
      </c>
      <c r="AO494" s="15" t="s">
        <v>61</v>
      </c>
      <c r="AP494" s="15" t="s">
        <v>61</v>
      </c>
      <c r="AQ494" s="21" t="s">
        <v>136</v>
      </c>
      <c r="AR494" s="25"/>
      <c r="AS494" s="25"/>
      <c r="AT494" s="25"/>
      <c r="AU494" s="25"/>
      <c r="AV494" s="25"/>
      <c r="AW494" s="25"/>
      <c r="AX494" s="24"/>
    </row>
    <row r="495" spans="1:50" ht="16.5" customHeight="1">
      <c r="A495" s="36" t="s">
        <v>2213</v>
      </c>
      <c r="B495" s="28" t="s">
        <v>68</v>
      </c>
      <c r="C495" s="28" t="s">
        <v>86</v>
      </c>
      <c r="D495" s="28"/>
      <c r="E495" s="28" t="s">
        <v>70</v>
      </c>
      <c r="F495" s="28">
        <v>515</v>
      </c>
      <c r="G495" s="28">
        <v>3</v>
      </c>
      <c r="H495" s="28" t="str">
        <f>IF(ISNUMBER(Table810[[#This Row],[Total Capacity]]),"USBR Enterprise Asset Registry",IF(Table810[[#This Row],[Total Capacity]]="",""))</f>
        <v>USBR Enterprise Asset Registry</v>
      </c>
      <c r="I495" s="28" t="s">
        <v>57</v>
      </c>
      <c r="J495" s="28" t="s">
        <v>72</v>
      </c>
      <c r="K495" s="28"/>
      <c r="L495" s="50">
        <v>10553</v>
      </c>
      <c r="M495" s="48"/>
      <c r="N495" s="50">
        <v>10553</v>
      </c>
      <c r="O495" s="28"/>
      <c r="P495" s="37"/>
      <c r="Q495" s="28">
        <f>IF(OR(Table810[[#This Row],[Post-Review Decision]]="Include", Table810[[#This Row],[Post-Review Decision]]="Include if possible", Table810[[#This Row],[Post-Review Decision]]="Include (Omit % Avg if needed)",  Table810[[#This Row],[Post-Review Decision]]="Include (Omit % Avg)"),Table810[[#This Row],[EAR Total Capacity]],"")</f>
        <v>10553</v>
      </c>
      <c r="R495" s="28">
        <v>3329</v>
      </c>
      <c r="S495" s="46">
        <v>9067</v>
      </c>
      <c r="T495" s="28" t="s">
        <v>2214</v>
      </c>
      <c r="U495" s="28" t="s">
        <v>2215</v>
      </c>
      <c r="V495" s="13" t="s">
        <v>264</v>
      </c>
      <c r="W495" s="12" t="b">
        <f>ISNUMBER(Table810[[#This Row],[EAR Total Capacity]])</f>
        <v>1</v>
      </c>
      <c r="X495" s="12" t="b">
        <f>IF(Table810[[#This Row],[Has  Storage for Full Averaging Period?]]="OK",TRUE,FALSE)</f>
        <v>1</v>
      </c>
      <c r="Y495" s="12" t="b">
        <f>IFERROR(IF(YEAR(Table810[[#This Row],[RISE Storage End Date]])=2025,TRUE,FALSE),FALSE)</f>
        <v>1</v>
      </c>
      <c r="Z495" s="11" t="b">
        <v>0</v>
      </c>
      <c r="AA495" s="13">
        <v>476</v>
      </c>
      <c r="AB495" s="13" t="s">
        <v>76</v>
      </c>
      <c r="AC495" s="13" t="s">
        <v>2213</v>
      </c>
      <c r="AD495" s="13" t="s">
        <v>2213</v>
      </c>
      <c r="AE495" s="13" t="s">
        <v>78</v>
      </c>
      <c r="AF495" s="13" t="s">
        <v>2216</v>
      </c>
      <c r="AG495" s="13" t="s">
        <v>91</v>
      </c>
      <c r="AH495" s="13" t="s">
        <v>92</v>
      </c>
      <c r="AI495" s="13" t="s">
        <v>93</v>
      </c>
      <c r="AJ495" s="13">
        <v>10553</v>
      </c>
      <c r="AK495" s="18"/>
      <c r="AL495" s="18"/>
      <c r="AM495" s="13" t="s">
        <v>2217</v>
      </c>
      <c r="AN495" s="13" t="s">
        <v>63</v>
      </c>
      <c r="AO495" s="13" t="s">
        <v>2218</v>
      </c>
      <c r="AP495" s="13" t="s">
        <v>2218</v>
      </c>
      <c r="AQ495" s="21" t="s">
        <v>64</v>
      </c>
      <c r="AR495" s="26">
        <v>19633</v>
      </c>
      <c r="AS495" s="26">
        <v>46007</v>
      </c>
      <c r="AT495" s="25">
        <v>23951</v>
      </c>
      <c r="AU495" s="25" t="s">
        <v>65</v>
      </c>
      <c r="AV495" s="25" t="s">
        <v>65</v>
      </c>
      <c r="AW495" s="25" t="s">
        <v>65</v>
      </c>
      <c r="AX495" s="24"/>
    </row>
    <row r="496" spans="1:50" ht="16.5" customHeight="1">
      <c r="A496" s="36" t="s">
        <v>2219</v>
      </c>
      <c r="B496" s="28" t="s">
        <v>68</v>
      </c>
      <c r="C496" s="28" t="s">
        <v>86</v>
      </c>
      <c r="D496" s="28"/>
      <c r="E496" s="28" t="s">
        <v>70</v>
      </c>
      <c r="F496" s="28">
        <v>508</v>
      </c>
      <c r="G496" s="28">
        <v>3</v>
      </c>
      <c r="H496" s="28" t="str">
        <f>IF(ISNUMBER(Table810[[#This Row],[Total Capacity]]),"USBR Enterprise Asset Registry",IF(Table810[[#This Row],[Total Capacity]]="",""))</f>
        <v>USBR Enterprise Asset Registry</v>
      </c>
      <c r="I496" s="28" t="s">
        <v>57</v>
      </c>
      <c r="J496" s="28" t="s">
        <v>72</v>
      </c>
      <c r="K496" s="28"/>
      <c r="L496" s="50">
        <v>31848</v>
      </c>
      <c r="M496" s="48">
        <v>31852</v>
      </c>
      <c r="N496" s="50">
        <v>31852</v>
      </c>
      <c r="O496" s="28"/>
      <c r="P496" s="37"/>
      <c r="Q496" s="28">
        <f>IF(OR(Table810[[#This Row],[Post-Review Decision]]="Include", Table810[[#This Row],[Post-Review Decision]]="Include if possible", Table810[[#This Row],[Post-Review Decision]]="Include (Omit % Avg if needed)",  Table810[[#This Row],[Post-Review Decision]]="Include (Omit % Avg)"),Table810[[#This Row],[EAR Total Capacity]],"")</f>
        <v>31848</v>
      </c>
      <c r="R496" s="28">
        <v>31847</v>
      </c>
      <c r="S496" s="46">
        <v>31847</v>
      </c>
      <c r="T496" s="28" t="s">
        <v>2220</v>
      </c>
      <c r="U496" s="28" t="s">
        <v>2221</v>
      </c>
      <c r="V496" s="13" t="s">
        <v>648</v>
      </c>
      <c r="W496" s="12" t="b">
        <f>ISNUMBER(Table810[[#This Row],[EAR Total Capacity]])</f>
        <v>1</v>
      </c>
      <c r="X496" s="12" t="b">
        <f>IF(Table810[[#This Row],[Has  Storage for Full Averaging Period?]]="OK",TRUE,FALSE)</f>
        <v>1</v>
      </c>
      <c r="Y496" s="12" t="b">
        <f>IFERROR(IF(YEAR(Table810[[#This Row],[RISE Storage End Date]])=2025,TRUE,FALSE),FALSE)</f>
        <v>1</v>
      </c>
      <c r="Z496" s="11" t="b">
        <v>0</v>
      </c>
      <c r="AA496" s="13">
        <v>477</v>
      </c>
      <c r="AB496" s="13" t="s">
        <v>76</v>
      </c>
      <c r="AC496" s="13" t="s">
        <v>2219</v>
      </c>
      <c r="AD496" s="13" t="s">
        <v>2219</v>
      </c>
      <c r="AE496" s="13" t="s">
        <v>78</v>
      </c>
      <c r="AF496" s="13" t="s">
        <v>2222</v>
      </c>
      <c r="AG496" s="13" t="s">
        <v>109</v>
      </c>
      <c r="AH496" s="13" t="s">
        <v>92</v>
      </c>
      <c r="AI496" s="13" t="s">
        <v>93</v>
      </c>
      <c r="AJ496" s="13">
        <v>31848</v>
      </c>
      <c r="AK496" s="18"/>
      <c r="AL496" s="18"/>
      <c r="AM496" s="13" t="s">
        <v>2223</v>
      </c>
      <c r="AN496" s="13" t="s">
        <v>95</v>
      </c>
      <c r="AO496" s="13" t="s">
        <v>2218</v>
      </c>
      <c r="AP496" s="13" t="s">
        <v>2218</v>
      </c>
      <c r="AQ496" s="21" t="s">
        <v>64</v>
      </c>
      <c r="AR496" s="26">
        <v>31321</v>
      </c>
      <c r="AS496" s="26">
        <v>46007</v>
      </c>
      <c r="AT496" s="25">
        <v>14765</v>
      </c>
      <c r="AU496" s="25" t="s">
        <v>65</v>
      </c>
      <c r="AV496" s="25" t="s">
        <v>65</v>
      </c>
      <c r="AW496" s="25" t="s">
        <v>65</v>
      </c>
      <c r="AX496" s="24"/>
    </row>
    <row r="497" spans="1:50" ht="16.5" customHeight="1">
      <c r="A497" s="36" t="s">
        <v>2224</v>
      </c>
      <c r="B497" s="28"/>
      <c r="C497" s="28" t="s">
        <v>97</v>
      </c>
      <c r="D497" s="28"/>
      <c r="E497" s="28"/>
      <c r="F497" s="28" t="s">
        <v>61</v>
      </c>
      <c r="G497" s="28"/>
      <c r="H497" s="28" t="str">
        <f>IF(ISNUMBER(Table810[[#This Row],[Total Capacity]]),"USBR Enterprise Asset Registry",IF(Table810[[#This Row],[Total Capacity]]="",""))</f>
        <v/>
      </c>
      <c r="I497" s="28"/>
      <c r="J497" s="28"/>
      <c r="K497" s="28"/>
      <c r="L497" s="50" t="s">
        <v>98</v>
      </c>
      <c r="M497" s="48"/>
      <c r="N497" s="50" t="s">
        <v>98</v>
      </c>
      <c r="O497" s="28"/>
      <c r="P497" s="37"/>
      <c r="Q497" s="28" t="str">
        <f>IF(OR(Table810[[#This Row],[Post-Review Decision]]="Include", Table810[[#This Row],[Post-Review Decision]]="Include if possible", Table810[[#This Row],[Post-Review Decision]]="Include (Omit % Avg if needed)",  Table810[[#This Row],[Post-Review Decision]]="Include (Omit % Avg)"),Table810[[#This Row],[EAR Total Capacity]],"")</f>
        <v/>
      </c>
      <c r="R497" s="28"/>
      <c r="S497" s="45">
        <v>0</v>
      </c>
      <c r="T497" s="28"/>
      <c r="U497" s="28"/>
      <c r="V497" s="13" t="s">
        <v>363</v>
      </c>
      <c r="W497" s="12" t="b">
        <f>ISNUMBER(Table810[[#This Row],[EAR Total Capacity]])</f>
        <v>0</v>
      </c>
      <c r="X497" s="12" t="b">
        <f>IF(Table810[[#This Row],[Has  Storage for Full Averaging Period?]]="OK",TRUE,FALSE)</f>
        <v>0</v>
      </c>
      <c r="Y497" s="12" t="b">
        <f>IFERROR(IF(YEAR(Table810[[#This Row],[RISE Storage End Date]])=2025,TRUE,FALSE),FALSE)</f>
        <v>0</v>
      </c>
      <c r="Z497" s="11" t="b">
        <v>0</v>
      </c>
      <c r="AA497" s="13">
        <v>478</v>
      </c>
      <c r="AB497" s="13" t="s">
        <v>76</v>
      </c>
      <c r="AC497" s="13" t="s">
        <v>2225</v>
      </c>
      <c r="AD497" s="13" t="s">
        <v>2224</v>
      </c>
      <c r="AE497" s="13" t="s">
        <v>78</v>
      </c>
      <c r="AF497" s="13" t="s">
        <v>2226</v>
      </c>
      <c r="AG497" s="13" t="s">
        <v>91</v>
      </c>
      <c r="AH497" s="13" t="s">
        <v>92</v>
      </c>
      <c r="AI497" s="13" t="s">
        <v>103</v>
      </c>
      <c r="AJ497" s="13"/>
      <c r="AK497" s="15"/>
      <c r="AL497" s="15"/>
      <c r="AM497" s="15" t="s">
        <v>61</v>
      </c>
      <c r="AN497" s="15" t="s">
        <v>61</v>
      </c>
      <c r="AO497" s="15" t="s">
        <v>61</v>
      </c>
      <c r="AP497" s="15" t="s">
        <v>61</v>
      </c>
      <c r="AQ497" s="21" t="s">
        <v>136</v>
      </c>
      <c r="AR497" s="25"/>
      <c r="AS497" s="25"/>
      <c r="AT497" s="25"/>
      <c r="AU497" s="25"/>
      <c r="AV497" s="25"/>
      <c r="AW497" s="25"/>
      <c r="AX497" s="24"/>
    </row>
    <row r="498" spans="1:50" ht="16.5" customHeight="1">
      <c r="A498" s="36" t="s">
        <v>2227</v>
      </c>
      <c r="B498" s="28"/>
      <c r="C498" s="28" t="s">
        <v>97</v>
      </c>
      <c r="D498" s="28"/>
      <c r="E498" s="28"/>
      <c r="F498" s="28" t="s">
        <v>61</v>
      </c>
      <c r="G498" s="28"/>
      <c r="H498" s="28" t="str">
        <f>IF(ISNUMBER(Table810[[#This Row],[Total Capacity]]),"USBR Enterprise Asset Registry",IF(Table810[[#This Row],[Total Capacity]]="",""))</f>
        <v/>
      </c>
      <c r="I498" s="28"/>
      <c r="J498" s="28"/>
      <c r="K498" s="28"/>
      <c r="L498" s="50" t="s">
        <v>98</v>
      </c>
      <c r="M498" s="48"/>
      <c r="N498" s="50" t="s">
        <v>98</v>
      </c>
      <c r="O498" s="28"/>
      <c r="P498" s="37"/>
      <c r="Q498" s="28" t="str">
        <f>IF(OR(Table810[[#This Row],[Post-Review Decision]]="Include", Table810[[#This Row],[Post-Review Decision]]="Include if possible", Table810[[#This Row],[Post-Review Decision]]="Include (Omit % Avg if needed)",  Table810[[#This Row],[Post-Review Decision]]="Include (Omit % Avg)"),Table810[[#This Row],[EAR Total Capacity]],"")</f>
        <v/>
      </c>
      <c r="R498" s="28"/>
      <c r="S498" s="45">
        <v>0</v>
      </c>
      <c r="T498" s="28"/>
      <c r="U498" s="28"/>
      <c r="V498" s="13" t="s">
        <v>606</v>
      </c>
      <c r="W498" s="12" t="b">
        <f>ISNUMBER(Table810[[#This Row],[EAR Total Capacity]])</f>
        <v>0</v>
      </c>
      <c r="X498" s="12" t="b">
        <f>IF(Table810[[#This Row],[Has  Storage for Full Averaging Period?]]="OK",TRUE,FALSE)</f>
        <v>0</v>
      </c>
      <c r="Y498" s="12" t="b">
        <f>IFERROR(IF(YEAR(Table810[[#This Row],[RISE Storage End Date]])=2025,TRUE,FALSE),FALSE)</f>
        <v>0</v>
      </c>
      <c r="Z498" s="11" t="b">
        <v>0</v>
      </c>
      <c r="AA498" s="13">
        <v>853</v>
      </c>
      <c r="AB498" s="13" t="s">
        <v>76</v>
      </c>
      <c r="AC498" s="13" t="s">
        <v>2228</v>
      </c>
      <c r="AD498" s="13" t="s">
        <v>2227</v>
      </c>
      <c r="AE498" s="13" t="s">
        <v>101</v>
      </c>
      <c r="AF498" s="13" t="s">
        <v>2229</v>
      </c>
      <c r="AG498" s="13" t="s">
        <v>91</v>
      </c>
      <c r="AH498" s="13" t="s">
        <v>102</v>
      </c>
      <c r="AI498" s="13"/>
      <c r="AJ498" s="13"/>
      <c r="AK498" s="15"/>
      <c r="AL498" s="15"/>
      <c r="AM498" s="15" t="s">
        <v>61</v>
      </c>
      <c r="AN498" s="15" t="s">
        <v>61</v>
      </c>
      <c r="AO498" s="15" t="s">
        <v>61</v>
      </c>
      <c r="AP498" s="15" t="s">
        <v>61</v>
      </c>
      <c r="AQ498" s="22"/>
      <c r="AR498" s="25"/>
      <c r="AS498" s="25"/>
      <c r="AT498" s="25"/>
      <c r="AU498" s="25"/>
      <c r="AV498" s="25"/>
      <c r="AW498" s="25"/>
      <c r="AX498" s="24"/>
    </row>
    <row r="499" spans="1:50" ht="16.5" customHeight="1">
      <c r="A499" s="36" t="s">
        <v>2230</v>
      </c>
      <c r="B499" s="28"/>
      <c r="C499" s="28" t="s">
        <v>97</v>
      </c>
      <c r="D499" s="28"/>
      <c r="E499" s="28"/>
      <c r="F499" s="28" t="s">
        <v>61</v>
      </c>
      <c r="G499" s="28"/>
      <c r="H499" s="28" t="str">
        <f>IF(ISNUMBER(Table810[[#This Row],[Total Capacity]]),"USBR Enterprise Asset Registry",IF(Table810[[#This Row],[Total Capacity]]="",""))</f>
        <v/>
      </c>
      <c r="I499" s="28"/>
      <c r="J499" s="28"/>
      <c r="K499" s="28"/>
      <c r="L499" s="50" t="s">
        <v>98</v>
      </c>
      <c r="M499" s="48"/>
      <c r="N499" s="50" t="s">
        <v>98</v>
      </c>
      <c r="O499" s="28"/>
      <c r="P499" s="37"/>
      <c r="Q499" s="28" t="str">
        <f>IF(OR(Table810[[#This Row],[Post-Review Decision]]="Include", Table810[[#This Row],[Post-Review Decision]]="Include if possible", Table810[[#This Row],[Post-Review Decision]]="Include (Omit % Avg if needed)",  Table810[[#This Row],[Post-Review Decision]]="Include (Omit % Avg)"),Table810[[#This Row],[EAR Total Capacity]],"")</f>
        <v/>
      </c>
      <c r="R499" s="28"/>
      <c r="S499" s="45">
        <v>0</v>
      </c>
      <c r="T499" s="28"/>
      <c r="U499" s="28"/>
      <c r="V499" s="13" t="s">
        <v>370</v>
      </c>
      <c r="W499" s="12" t="b">
        <f>ISNUMBER(Table810[[#This Row],[EAR Total Capacity]])</f>
        <v>0</v>
      </c>
      <c r="X499" s="12" t="b">
        <f>IF(Table810[[#This Row],[Has  Storage for Full Averaging Period?]]="OK",TRUE,FALSE)</f>
        <v>0</v>
      </c>
      <c r="Y499" s="12" t="b">
        <f>IFERROR(IF(YEAR(Table810[[#This Row],[RISE Storage End Date]])=2025,TRUE,FALSE),FALSE)</f>
        <v>0</v>
      </c>
      <c r="Z499" s="11" t="b">
        <v>0</v>
      </c>
      <c r="AA499" s="13">
        <v>479</v>
      </c>
      <c r="AB499" s="13" t="s">
        <v>76</v>
      </c>
      <c r="AC499" s="13" t="s">
        <v>2231</v>
      </c>
      <c r="AD499" s="13" t="s">
        <v>2230</v>
      </c>
      <c r="AE499" s="13" t="s">
        <v>78</v>
      </c>
      <c r="AF499" s="13" t="s">
        <v>2232</v>
      </c>
      <c r="AG499" s="13" t="s">
        <v>91</v>
      </c>
      <c r="AH499" s="13" t="s">
        <v>92</v>
      </c>
      <c r="AI499" s="13" t="s">
        <v>103</v>
      </c>
      <c r="AJ499" s="13"/>
      <c r="AK499" s="15"/>
      <c r="AL499" s="15"/>
      <c r="AM499" s="15" t="s">
        <v>61</v>
      </c>
      <c r="AN499" s="15" t="s">
        <v>61</v>
      </c>
      <c r="AO499" s="15" t="s">
        <v>61</v>
      </c>
      <c r="AP499" s="15" t="s">
        <v>61</v>
      </c>
      <c r="AQ499" s="21" t="s">
        <v>136</v>
      </c>
      <c r="AR499" s="25"/>
      <c r="AS499" s="25"/>
      <c r="AT499" s="25"/>
      <c r="AU499" s="25"/>
      <c r="AV499" s="25"/>
      <c r="AW499" s="25"/>
      <c r="AX499" s="24"/>
    </row>
    <row r="500" spans="1:50" ht="16.5" customHeight="1">
      <c r="A500" s="36" t="s">
        <v>2233</v>
      </c>
      <c r="B500" s="28"/>
      <c r="C500" s="28" t="s">
        <v>97</v>
      </c>
      <c r="D500" s="28"/>
      <c r="E500" s="28"/>
      <c r="F500" s="28">
        <v>507</v>
      </c>
      <c r="G500" s="28"/>
      <c r="H500" s="28" t="str">
        <f>IF(ISNUMBER(Table810[[#This Row],[Total Capacity]]),"USBR Enterprise Asset Registry",IF(Table810[[#This Row],[Total Capacity]]="",""))</f>
        <v/>
      </c>
      <c r="I500" s="28"/>
      <c r="J500" s="28"/>
      <c r="K500" s="28"/>
      <c r="L500" s="50" t="s">
        <v>98</v>
      </c>
      <c r="M500" s="48"/>
      <c r="N500" s="50" t="s">
        <v>98</v>
      </c>
      <c r="O500" s="28"/>
      <c r="P500" s="37"/>
      <c r="Q500" s="28" t="str">
        <f>IF(OR(Table810[[#This Row],[Post-Review Decision]]="Include", Table810[[#This Row],[Post-Review Decision]]="Include if possible", Table810[[#This Row],[Post-Review Decision]]="Include (Omit % Avg if needed)",  Table810[[#This Row],[Post-Review Decision]]="Include (Omit % Avg)"),Table810[[#This Row],[EAR Total Capacity]],"")</f>
        <v/>
      </c>
      <c r="R500" s="28"/>
      <c r="S500" s="45" t="s">
        <v>59</v>
      </c>
      <c r="T500" s="28"/>
      <c r="U500" s="28"/>
      <c r="V500" s="17" t="s">
        <v>61</v>
      </c>
      <c r="W500" s="12" t="b">
        <f>ISNUMBER(Table810[[#This Row],[EAR Total Capacity]])</f>
        <v>0</v>
      </c>
      <c r="X500" s="12" t="b">
        <f>IF(Table810[[#This Row],[Has  Storage for Full Averaging Period?]]="OK",TRUE,FALSE)</f>
        <v>1</v>
      </c>
      <c r="Y500" s="12" t="b">
        <f>IFERROR(IF(YEAR(Table810[[#This Row],[RISE Storage End Date]])=2025,TRUE,FALSE),FALSE)</f>
        <v>1</v>
      </c>
      <c r="Z500" s="11" t="b">
        <v>0</v>
      </c>
      <c r="AA500" s="16" t="s">
        <v>61</v>
      </c>
      <c r="AB500" s="17" t="s">
        <v>61</v>
      </c>
      <c r="AC500" s="17" t="s">
        <v>61</v>
      </c>
      <c r="AD500" s="17" t="s">
        <v>61</v>
      </c>
      <c r="AE500" s="17" t="s">
        <v>61</v>
      </c>
      <c r="AF500" s="17" t="s">
        <v>61</v>
      </c>
      <c r="AG500" s="17" t="s">
        <v>61</v>
      </c>
      <c r="AH500" s="17" t="s">
        <v>61</v>
      </c>
      <c r="AI500" s="17" t="s">
        <v>61</v>
      </c>
      <c r="AJ500" s="17" t="s">
        <v>61</v>
      </c>
      <c r="AK500" s="18"/>
      <c r="AL500" s="18"/>
      <c r="AM500" s="13" t="s">
        <v>2234</v>
      </c>
      <c r="AN500" s="11" t="s">
        <v>95</v>
      </c>
      <c r="AO500" s="11" t="s">
        <v>2233</v>
      </c>
      <c r="AP500" s="11" t="e">
        <v>#N/A</v>
      </c>
      <c r="AQ500" s="21" t="s">
        <v>64</v>
      </c>
      <c r="AR500" s="26">
        <v>33146</v>
      </c>
      <c r="AS500" s="26">
        <v>46006</v>
      </c>
      <c r="AT500" s="25">
        <v>12862</v>
      </c>
      <c r="AU500" s="25" t="s">
        <v>65</v>
      </c>
      <c r="AV500" s="25" t="s">
        <v>65</v>
      </c>
      <c r="AW500" s="25" t="s">
        <v>65</v>
      </c>
      <c r="AX500" s="23"/>
    </row>
    <row r="501" spans="1:50" ht="16.5" customHeight="1">
      <c r="A501" s="36" t="s">
        <v>2235</v>
      </c>
      <c r="B501" s="28"/>
      <c r="C501" s="28" t="s">
        <v>97</v>
      </c>
      <c r="D501" s="28"/>
      <c r="E501" s="28"/>
      <c r="F501" s="28" t="s">
        <v>61</v>
      </c>
      <c r="G501" s="28"/>
      <c r="H501" s="28" t="str">
        <f>IF(ISNUMBER(Table810[[#This Row],[Total Capacity]]),"USBR Enterprise Asset Registry",IF(Table810[[#This Row],[Total Capacity]]="",""))</f>
        <v/>
      </c>
      <c r="I501" s="28"/>
      <c r="J501" s="28"/>
      <c r="K501" s="28"/>
      <c r="L501" s="50" t="s">
        <v>98</v>
      </c>
      <c r="M501" s="48"/>
      <c r="N501" s="50" t="s">
        <v>98</v>
      </c>
      <c r="O501" s="28"/>
      <c r="P501" s="37"/>
      <c r="Q501" s="28" t="str">
        <f>IF(OR(Table810[[#This Row],[Post-Review Decision]]="Include", Table810[[#This Row],[Post-Review Decision]]="Include if possible", Table810[[#This Row],[Post-Review Decision]]="Include (Omit % Avg if needed)",  Table810[[#This Row],[Post-Review Decision]]="Include (Omit % Avg)"),Table810[[#This Row],[EAR Total Capacity]],"")</f>
        <v/>
      </c>
      <c r="R501" s="28"/>
      <c r="S501" s="45">
        <v>0</v>
      </c>
      <c r="T501" s="28"/>
      <c r="U501" s="28"/>
      <c r="V501" s="13" t="s">
        <v>2181</v>
      </c>
      <c r="W501" s="12" t="b">
        <f>ISNUMBER(Table810[[#This Row],[EAR Total Capacity]])</f>
        <v>0</v>
      </c>
      <c r="X501" s="12" t="b">
        <f>IF(Table810[[#This Row],[Has  Storage for Full Averaging Period?]]="OK",TRUE,FALSE)</f>
        <v>0</v>
      </c>
      <c r="Y501" s="12" t="b">
        <f>IFERROR(IF(YEAR(Table810[[#This Row],[RISE Storage End Date]])=2025,TRUE,FALSE),FALSE)</f>
        <v>0</v>
      </c>
      <c r="Z501" s="11" t="b">
        <v>0</v>
      </c>
      <c r="AA501" s="13">
        <v>480</v>
      </c>
      <c r="AB501" s="13" t="s">
        <v>76</v>
      </c>
      <c r="AC501" s="13" t="s">
        <v>2236</v>
      </c>
      <c r="AD501" s="13" t="s">
        <v>2235</v>
      </c>
      <c r="AE501" s="13" t="s">
        <v>101</v>
      </c>
      <c r="AF501" s="13" t="s">
        <v>2237</v>
      </c>
      <c r="AG501" s="13" t="s">
        <v>109</v>
      </c>
      <c r="AH501" s="13" t="s">
        <v>92</v>
      </c>
      <c r="AI501" s="13" t="s">
        <v>103</v>
      </c>
      <c r="AJ501" s="13"/>
      <c r="AK501" s="15"/>
      <c r="AL501" s="15"/>
      <c r="AM501" s="15" t="s">
        <v>61</v>
      </c>
      <c r="AN501" s="15" t="s">
        <v>61</v>
      </c>
      <c r="AO501" s="15" t="s">
        <v>61</v>
      </c>
      <c r="AP501" s="15" t="s">
        <v>61</v>
      </c>
      <c r="AQ501" s="22"/>
      <c r="AR501" s="25"/>
      <c r="AS501" s="25"/>
      <c r="AT501" s="25"/>
      <c r="AU501" s="25"/>
      <c r="AV501" s="25"/>
      <c r="AW501" s="25"/>
      <c r="AX501" s="24"/>
    </row>
    <row r="502" spans="1:50" ht="16.5" customHeight="1">
      <c r="A502" s="36" t="s">
        <v>2238</v>
      </c>
      <c r="B502" s="28"/>
      <c r="C502" s="28" t="s">
        <v>97</v>
      </c>
      <c r="D502" s="28"/>
      <c r="E502" s="28"/>
      <c r="F502" s="28" t="s">
        <v>61</v>
      </c>
      <c r="G502" s="28"/>
      <c r="H502" s="28" t="str">
        <f>IF(ISNUMBER(Table810[[#This Row],[Total Capacity]]),"USBR Enterprise Asset Registry",IF(Table810[[#This Row],[Total Capacity]]="",""))</f>
        <v/>
      </c>
      <c r="I502" s="28"/>
      <c r="J502" s="28"/>
      <c r="K502" s="28"/>
      <c r="L502" s="50" t="s">
        <v>98</v>
      </c>
      <c r="M502" s="48"/>
      <c r="N502" s="50" t="s">
        <v>98</v>
      </c>
      <c r="O502" s="28"/>
      <c r="P502" s="37"/>
      <c r="Q502" s="28" t="str">
        <f>IF(OR(Table810[[#This Row],[Post-Review Decision]]="Include", Table810[[#This Row],[Post-Review Decision]]="Include if possible", Table810[[#This Row],[Post-Review Decision]]="Include (Omit % Avg if needed)",  Table810[[#This Row],[Post-Review Decision]]="Include (Omit % Avg)"),Table810[[#This Row],[EAR Total Capacity]],"")</f>
        <v/>
      </c>
      <c r="R502" s="28"/>
      <c r="S502" s="45">
        <v>0</v>
      </c>
      <c r="T502" s="28"/>
      <c r="U502" s="28"/>
      <c r="V502" s="13" t="s">
        <v>172</v>
      </c>
      <c r="W502" s="12" t="b">
        <f>ISNUMBER(Table810[[#This Row],[EAR Total Capacity]])</f>
        <v>0</v>
      </c>
      <c r="X502" s="12" t="b">
        <f>IF(Table810[[#This Row],[Has  Storage for Full Averaging Period?]]="OK",TRUE,FALSE)</f>
        <v>0</v>
      </c>
      <c r="Y502" s="12" t="b">
        <f>IFERROR(IF(YEAR(Table810[[#This Row],[RISE Storage End Date]])=2025,TRUE,FALSE),FALSE)</f>
        <v>0</v>
      </c>
      <c r="Z502" s="11" t="b">
        <v>0</v>
      </c>
      <c r="AA502" s="13">
        <v>481</v>
      </c>
      <c r="AB502" s="13" t="s">
        <v>76</v>
      </c>
      <c r="AC502" s="13" t="s">
        <v>2239</v>
      </c>
      <c r="AD502" s="13" t="s">
        <v>2238</v>
      </c>
      <c r="AE502" s="13" t="s">
        <v>101</v>
      </c>
      <c r="AF502" s="13" t="s">
        <v>2240</v>
      </c>
      <c r="AG502" s="13" t="s">
        <v>109</v>
      </c>
      <c r="AH502" s="13" t="s">
        <v>92</v>
      </c>
      <c r="AI502" s="13" t="s">
        <v>103</v>
      </c>
      <c r="AJ502" s="13"/>
      <c r="AK502" s="15"/>
      <c r="AL502" s="15"/>
      <c r="AM502" s="15" t="s">
        <v>61</v>
      </c>
      <c r="AN502" s="15" t="s">
        <v>61</v>
      </c>
      <c r="AO502" s="15" t="s">
        <v>61</v>
      </c>
      <c r="AP502" s="15" t="s">
        <v>61</v>
      </c>
      <c r="AQ502" s="22"/>
      <c r="AR502" s="25"/>
      <c r="AS502" s="25"/>
      <c r="AT502" s="25"/>
      <c r="AU502" s="25"/>
      <c r="AV502" s="25"/>
      <c r="AW502" s="25"/>
      <c r="AX502" s="24"/>
    </row>
    <row r="503" spans="1:50" ht="16.5" customHeight="1">
      <c r="A503" s="36" t="s">
        <v>2241</v>
      </c>
      <c r="B503" s="28"/>
      <c r="C503" s="28" t="s">
        <v>97</v>
      </c>
      <c r="D503" s="28"/>
      <c r="E503" s="28"/>
      <c r="F503" s="28">
        <v>6882</v>
      </c>
      <c r="G503" s="28"/>
      <c r="H503" s="28" t="str">
        <f>IF(ISNUMBER(Table810[[#This Row],[Total Capacity]]),"USBR Enterprise Asset Registry",IF(Table810[[#This Row],[Total Capacity]]="",""))</f>
        <v/>
      </c>
      <c r="I503" s="28" t="s">
        <v>57</v>
      </c>
      <c r="J503" s="28" t="s">
        <v>72</v>
      </c>
      <c r="K503" s="28"/>
      <c r="L503" s="50">
        <v>2877</v>
      </c>
      <c r="M503" s="48"/>
      <c r="N503" s="50">
        <v>2877</v>
      </c>
      <c r="O503" s="28"/>
      <c r="P503" s="37"/>
      <c r="Q503" s="28" t="str">
        <f>IF(OR(Table810[[#This Row],[Post-Review Decision]]="Include", Table810[[#This Row],[Post-Review Decision]]="Include if possible", Table810[[#This Row],[Post-Review Decision]]="Include (Omit % Avg if needed)",  Table810[[#This Row],[Post-Review Decision]]="Include (Omit % Avg)"),Table810[[#This Row],[EAR Total Capacity]],"")</f>
        <v/>
      </c>
      <c r="R503" s="28">
        <v>2877</v>
      </c>
      <c r="S503" s="45">
        <v>0</v>
      </c>
      <c r="T503" s="28"/>
      <c r="U503" s="28"/>
      <c r="V503" s="13" t="s">
        <v>270</v>
      </c>
      <c r="W503" s="12" t="b">
        <f>ISNUMBER(Table810[[#This Row],[EAR Total Capacity]])</f>
        <v>1</v>
      </c>
      <c r="X503" s="12" t="b">
        <f>IF(Table810[[#This Row],[Has  Storage for Full Averaging Period?]]="OK",TRUE,FALSE)</f>
        <v>0</v>
      </c>
      <c r="Y503" s="12" t="b">
        <f>IFERROR(IF(YEAR(Table810[[#This Row],[RISE Storage End Date]])=2025,TRUE,FALSE),FALSE)</f>
        <v>0</v>
      </c>
      <c r="Z503" s="11" t="b">
        <v>0</v>
      </c>
      <c r="AA503" s="13">
        <v>482</v>
      </c>
      <c r="AB503" s="13" t="s">
        <v>76</v>
      </c>
      <c r="AC503" s="13" t="s">
        <v>2242</v>
      </c>
      <c r="AD503" s="13" t="s">
        <v>2241</v>
      </c>
      <c r="AE503" s="13" t="s">
        <v>78</v>
      </c>
      <c r="AF503" s="13" t="s">
        <v>2243</v>
      </c>
      <c r="AG503" s="13" t="s">
        <v>109</v>
      </c>
      <c r="AH503" s="13" t="s">
        <v>92</v>
      </c>
      <c r="AI503" s="13" t="s">
        <v>924</v>
      </c>
      <c r="AJ503" s="13">
        <v>2877</v>
      </c>
      <c r="AK503" s="18"/>
      <c r="AL503" s="18"/>
      <c r="AM503" s="13" t="s">
        <v>2244</v>
      </c>
      <c r="AN503" s="13" t="s">
        <v>95</v>
      </c>
      <c r="AO503" s="11" t="s">
        <v>2241</v>
      </c>
      <c r="AP503" s="11" t="s">
        <v>2241</v>
      </c>
      <c r="AQ503" s="21" t="s">
        <v>136</v>
      </c>
      <c r="AR503" s="25"/>
      <c r="AS503" s="25"/>
      <c r="AT503" s="25"/>
      <c r="AU503" s="25"/>
      <c r="AV503" s="25"/>
      <c r="AW503" s="25"/>
      <c r="AX503" s="24"/>
    </row>
    <row r="504" spans="1:50" ht="16.5" customHeight="1">
      <c r="A504" s="36" t="s">
        <v>2245</v>
      </c>
      <c r="B504" s="28"/>
      <c r="C504" s="28" t="s">
        <v>97</v>
      </c>
      <c r="D504" s="28"/>
      <c r="E504" s="28"/>
      <c r="F504" s="18">
        <v>3735</v>
      </c>
      <c r="G504" s="28"/>
      <c r="H504" s="28" t="str">
        <f>IF(ISNUMBER(Table810[[#This Row],[Total Capacity]]),"USBR Enterprise Asset Registry",IF(Table810[[#This Row],[Total Capacity]]="",""))</f>
        <v/>
      </c>
      <c r="I504" s="28"/>
      <c r="J504" s="28"/>
      <c r="K504" s="28"/>
      <c r="L504" s="50" t="s">
        <v>98</v>
      </c>
      <c r="M504" s="48"/>
      <c r="N504" s="50" t="s">
        <v>98</v>
      </c>
      <c r="O504" s="28"/>
      <c r="P504" s="37"/>
      <c r="Q504" s="28" t="str">
        <f>IF(OR(Table810[[#This Row],[Post-Review Decision]]="Include", Table810[[#This Row],[Post-Review Decision]]="Include if possible", Table810[[#This Row],[Post-Review Decision]]="Include (Omit % Avg if needed)",  Table810[[#This Row],[Post-Review Decision]]="Include (Omit % Avg)"),Table810[[#This Row],[EAR Total Capacity]],"")</f>
        <v/>
      </c>
      <c r="R504" s="28"/>
      <c r="S504" s="45" t="s">
        <v>59</v>
      </c>
      <c r="T504" s="28"/>
      <c r="U504" s="28"/>
      <c r="V504" s="17" t="s">
        <v>61</v>
      </c>
      <c r="W504" s="12" t="b">
        <f>ISNUMBER(Table810[[#This Row],[EAR Total Capacity]])</f>
        <v>0</v>
      </c>
      <c r="X504" s="12" t="b">
        <f>IF(Table810[[#This Row],[Has  Storage for Full Averaging Period?]]="OK",TRUE,FALSE)</f>
        <v>0</v>
      </c>
      <c r="Y504" s="12" t="b">
        <f>IFERROR(IF(YEAR(Table810[[#This Row],[RISE Storage End Date]])=2025,TRUE,FALSE),FALSE)</f>
        <v>0</v>
      </c>
      <c r="Z504" s="11" t="b">
        <v>0</v>
      </c>
      <c r="AA504" s="16" t="s">
        <v>61</v>
      </c>
      <c r="AB504" s="17" t="s">
        <v>61</v>
      </c>
      <c r="AC504" s="17" t="s">
        <v>61</v>
      </c>
      <c r="AD504" s="17" t="s">
        <v>61</v>
      </c>
      <c r="AE504" s="17" t="s">
        <v>61</v>
      </c>
      <c r="AF504" s="17" t="s">
        <v>61</v>
      </c>
      <c r="AG504" s="17" t="s">
        <v>61</v>
      </c>
      <c r="AH504" s="17" t="s">
        <v>61</v>
      </c>
      <c r="AI504" s="17" t="s">
        <v>61</v>
      </c>
      <c r="AJ504" s="17" t="s">
        <v>61</v>
      </c>
      <c r="AK504" s="18"/>
      <c r="AL504" s="18"/>
      <c r="AM504" s="13" t="s">
        <v>2246</v>
      </c>
      <c r="AN504" s="11" t="s">
        <v>183</v>
      </c>
      <c r="AO504" s="11" t="s">
        <v>2245</v>
      </c>
      <c r="AP504" s="11" t="e">
        <v>#N/A</v>
      </c>
      <c r="AQ504" s="21" t="s">
        <v>136</v>
      </c>
      <c r="AR504" s="27"/>
      <c r="AS504" s="27"/>
      <c r="AT504" s="27"/>
      <c r="AU504" s="27"/>
      <c r="AV504" s="27"/>
      <c r="AW504" s="27"/>
      <c r="AX504" s="23"/>
    </row>
  </sheetData>
  <phoneticPr fontId="11" type="noConversion"/>
  <conditionalFormatting sqref="M34">
    <cfRule type="expression" dxfId="49" priority="1">
      <formula>AND($L34="Yes",$O34="")</formula>
    </cfRule>
  </conditionalFormatting>
  <conditionalFormatting sqref="W2:Y504">
    <cfRule type="cellIs" dxfId="48" priority="3" operator="equal">
      <formula>FALSE</formula>
    </cfRule>
    <cfRule type="cellIs" dxfId="47" priority="4" operator="equal">
      <formula>TRUE</formula>
    </cfRule>
  </conditionalFormatting>
  <hyperlinks>
    <hyperlink ref="P423" r:id="rId1" xr:uid="{C80BF2F2-968A-4DDD-BBA7-7FD253E87B3F}"/>
    <hyperlink ref="P148" r:id="rId2" xr:uid="{6C02BA57-262B-4948-BFA1-5FA9C670079F}"/>
    <hyperlink ref="P356" r:id="rId3" location="storage/" xr:uid="{71CDD8D9-0116-4E5A-AAD9-ED7A9606BFFD}"/>
    <hyperlink ref="P449" r:id="rId4" xr:uid="{398A8BD9-F1A7-4E08-BC64-36006B9C69DC}"/>
    <hyperlink ref="P454" r:id="rId5" xr:uid="{7A63AF22-157A-4720-8BF8-25B92270F264}"/>
    <hyperlink ref="P256" r:id="rId6" xr:uid="{87E1221A-8164-4782-A08D-903C3019FA98}"/>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A65A9905-1324-4D93-8B3B-1094B35DA4CE}">
          <x14:formula1>
            <xm:f>'Data Validation'!$A$2:$A$7</xm:f>
          </x14:formula1>
          <xm:sqref>V2:V504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1C0FE-6369-994D-936D-F176144171C6}">
  <dimension ref="A1:B504"/>
  <sheetViews>
    <sheetView workbookViewId="0">
      <selection activeCell="C23" sqref="C23"/>
    </sheetView>
  </sheetViews>
  <sheetFormatPr defaultColWidth="11.42578125" defaultRowHeight="15"/>
  <cols>
    <col min="1" max="1" width="14.7109375" customWidth="1"/>
    <col min="2" max="2" width="11.42578125" customWidth="1"/>
  </cols>
  <sheetData>
    <row r="1" spans="1:2" ht="15.95">
      <c r="A1" s="3" t="s">
        <v>36</v>
      </c>
      <c r="B1" s="3" t="s">
        <v>37</v>
      </c>
    </row>
    <row r="2" spans="1:2">
      <c r="A2" s="18"/>
      <c r="B2" s="18"/>
    </row>
    <row r="3" spans="1:2">
      <c r="A3" s="18"/>
      <c r="B3" s="18"/>
    </row>
    <row r="4" spans="1:2">
      <c r="A4" s="18"/>
      <c r="B4" s="18"/>
    </row>
    <row r="5" spans="1:2">
      <c r="A5" s="15"/>
      <c r="B5" s="15"/>
    </row>
    <row r="6" spans="1:2">
      <c r="A6" s="18"/>
      <c r="B6" s="18"/>
    </row>
    <row r="7" spans="1:2">
      <c r="A7" s="18"/>
      <c r="B7" s="18"/>
    </row>
    <row r="8" spans="1:2">
      <c r="A8" s="15"/>
      <c r="B8" s="15"/>
    </row>
    <row r="9" spans="1:2">
      <c r="A9" s="18"/>
      <c r="B9" s="18"/>
    </row>
    <row r="10" spans="1:2">
      <c r="A10" s="18"/>
      <c r="B10" s="18"/>
    </row>
    <row r="11" spans="1:2">
      <c r="A11" s="18"/>
      <c r="B11" s="18"/>
    </row>
    <row r="12" spans="1:2">
      <c r="A12" s="18"/>
      <c r="B12" s="18"/>
    </row>
    <row r="13" spans="1:2">
      <c r="A13" s="15"/>
      <c r="B13" s="15"/>
    </row>
    <row r="14" spans="1:2">
      <c r="A14" s="18"/>
      <c r="B14" s="18"/>
    </row>
    <row r="15" spans="1:2">
      <c r="A15" s="15"/>
      <c r="B15" s="15"/>
    </row>
    <row r="16" spans="1:2">
      <c r="A16" s="15"/>
      <c r="B16" s="15"/>
    </row>
    <row r="17" spans="1:2">
      <c r="A17" s="15"/>
      <c r="B17" s="15"/>
    </row>
    <row r="18" spans="1:2">
      <c r="A18" s="18"/>
      <c r="B18" s="18"/>
    </row>
    <row r="19" spans="1:2">
      <c r="A19" s="18"/>
      <c r="B19" s="18"/>
    </row>
    <row r="20" spans="1:2">
      <c r="A20" s="15"/>
      <c r="B20" s="15"/>
    </row>
    <row r="21" spans="1:2">
      <c r="A21" s="15"/>
      <c r="B21" s="15"/>
    </row>
    <row r="22" spans="1:2">
      <c r="A22" s="18"/>
      <c r="B22" s="18"/>
    </row>
    <row r="23" spans="1:2">
      <c r="A23" s="18"/>
      <c r="B23" s="18"/>
    </row>
    <row r="24" spans="1:2">
      <c r="A24" s="18"/>
      <c r="B24" s="18"/>
    </row>
    <row r="25" spans="1:2">
      <c r="A25" s="15"/>
      <c r="B25" s="15"/>
    </row>
    <row r="26" spans="1:2">
      <c r="A26" s="15"/>
      <c r="B26" s="15"/>
    </row>
    <row r="27" spans="1:2">
      <c r="A27" s="15"/>
      <c r="B27" s="15"/>
    </row>
    <row r="28" spans="1:2">
      <c r="A28" s="15"/>
      <c r="B28" s="15"/>
    </row>
    <row r="29" spans="1:2">
      <c r="A29" s="15"/>
      <c r="B29" s="15"/>
    </row>
    <row r="30" spans="1:2">
      <c r="A30" s="18"/>
      <c r="B30" s="18"/>
    </row>
    <row r="31" spans="1:2">
      <c r="A31" s="15"/>
      <c r="B31" s="15"/>
    </row>
    <row r="32" spans="1:2">
      <c r="A32" s="18"/>
      <c r="B32" s="18"/>
    </row>
    <row r="33" spans="1:2">
      <c r="A33" s="18"/>
      <c r="B33" s="18"/>
    </row>
    <row r="34" spans="1:2">
      <c r="A34" s="18"/>
      <c r="B34" s="18"/>
    </row>
    <row r="35" spans="1:2">
      <c r="A35" s="15"/>
      <c r="B35" s="15"/>
    </row>
    <row r="36" spans="1:2">
      <c r="A36" s="18"/>
      <c r="B36" s="18"/>
    </row>
    <row r="37" spans="1:2">
      <c r="A37" s="18"/>
      <c r="B37" s="18"/>
    </row>
    <row r="38" spans="1:2">
      <c r="A38" s="18"/>
      <c r="B38" s="18"/>
    </row>
    <row r="39" spans="1:2">
      <c r="A39" s="18"/>
      <c r="B39" s="18"/>
    </row>
    <row r="40" spans="1:2">
      <c r="A40" s="15"/>
      <c r="B40" s="15"/>
    </row>
    <row r="41" spans="1:2">
      <c r="A41" s="18"/>
      <c r="B41" s="18"/>
    </row>
    <row r="42" spans="1:2">
      <c r="A42" s="18"/>
      <c r="B42" s="18"/>
    </row>
    <row r="43" spans="1:2">
      <c r="A43" s="15"/>
      <c r="B43" s="15"/>
    </row>
    <row r="44" spans="1:2">
      <c r="A44" s="18"/>
      <c r="B44" s="18"/>
    </row>
    <row r="45" spans="1:2">
      <c r="A45" s="18"/>
      <c r="B45" s="18"/>
    </row>
    <row r="46" spans="1:2">
      <c r="A46" s="18"/>
      <c r="B46" s="18"/>
    </row>
    <row r="47" spans="1:2">
      <c r="A47" s="18"/>
      <c r="B47" s="18"/>
    </row>
    <row r="48" spans="1:2">
      <c r="A48" s="15"/>
      <c r="B48" s="15"/>
    </row>
    <row r="49" spans="1:2">
      <c r="A49" s="15"/>
      <c r="B49" s="15"/>
    </row>
    <row r="50" spans="1:2">
      <c r="A50" s="15"/>
      <c r="B50" s="15"/>
    </row>
    <row r="51" spans="1:2">
      <c r="A51" s="15"/>
      <c r="B51" s="15"/>
    </row>
    <row r="52" spans="1:2">
      <c r="A52" s="15"/>
      <c r="B52" s="15"/>
    </row>
    <row r="53" spans="1:2">
      <c r="A53" s="18"/>
      <c r="B53" s="18"/>
    </row>
    <row r="54" spans="1:2">
      <c r="A54" s="18"/>
      <c r="B54" s="18"/>
    </row>
    <row r="55" spans="1:2">
      <c r="A55" s="18"/>
      <c r="B55" s="18"/>
    </row>
    <row r="56" spans="1:2">
      <c r="A56" s="15"/>
      <c r="B56" s="15"/>
    </row>
    <row r="57" spans="1:2">
      <c r="A57" s="18"/>
      <c r="B57" s="18"/>
    </row>
    <row r="58" spans="1:2">
      <c r="A58" s="15"/>
      <c r="B58" s="15"/>
    </row>
    <row r="59" spans="1:2">
      <c r="A59" s="18"/>
      <c r="B59" s="18"/>
    </row>
    <row r="60" spans="1:2">
      <c r="A60" s="18"/>
      <c r="B60" s="18"/>
    </row>
    <row r="61" spans="1:2">
      <c r="A61" s="15"/>
      <c r="B61" s="15"/>
    </row>
    <row r="62" spans="1:2">
      <c r="A62" s="18"/>
      <c r="B62" s="18"/>
    </row>
    <row r="63" spans="1:2">
      <c r="A63" s="15"/>
      <c r="B63" s="15"/>
    </row>
    <row r="64" spans="1:2">
      <c r="A64" s="15"/>
      <c r="B64" s="15"/>
    </row>
    <row r="65" spans="1:2">
      <c r="A65" s="15"/>
      <c r="B65" s="15"/>
    </row>
    <row r="66" spans="1:2">
      <c r="A66" s="18"/>
      <c r="B66" s="18"/>
    </row>
    <row r="67" spans="1:2">
      <c r="A67" s="15"/>
      <c r="B67" s="15"/>
    </row>
    <row r="68" spans="1:2">
      <c r="A68" s="15"/>
      <c r="B68" s="15"/>
    </row>
    <row r="69" spans="1:2">
      <c r="A69" s="15"/>
      <c r="B69" s="15"/>
    </row>
    <row r="70" spans="1:2">
      <c r="A70" s="18"/>
      <c r="B70" s="18"/>
    </row>
    <row r="71" spans="1:2">
      <c r="A71" s="18"/>
      <c r="B71" s="18"/>
    </row>
    <row r="72" spans="1:2">
      <c r="A72" s="15"/>
      <c r="B72" s="15"/>
    </row>
    <row r="73" spans="1:2">
      <c r="A73" s="15"/>
      <c r="B73" s="15"/>
    </row>
    <row r="74" spans="1:2">
      <c r="A74" s="18"/>
      <c r="B74" s="18"/>
    </row>
    <row r="75" spans="1:2">
      <c r="A75" s="18"/>
      <c r="B75" s="18"/>
    </row>
    <row r="76" spans="1:2">
      <c r="A76" s="18"/>
      <c r="B76" s="18"/>
    </row>
    <row r="77" spans="1:2">
      <c r="A77" s="15"/>
      <c r="B77" s="15"/>
    </row>
    <row r="78" spans="1:2">
      <c r="A78" s="15"/>
      <c r="B78" s="15"/>
    </row>
    <row r="79" spans="1:2">
      <c r="A79" s="18"/>
      <c r="B79" s="18"/>
    </row>
    <row r="80" spans="1:2">
      <c r="A80" s="15"/>
      <c r="B80" s="15"/>
    </row>
    <row r="81" spans="1:2">
      <c r="A81" s="18"/>
      <c r="B81" s="18"/>
    </row>
    <row r="82" spans="1:2">
      <c r="A82" s="18"/>
      <c r="B82" s="18"/>
    </row>
    <row r="83" spans="1:2">
      <c r="A83" s="18"/>
      <c r="B83" s="18"/>
    </row>
    <row r="84" spans="1:2">
      <c r="A84" s="18"/>
      <c r="B84" s="18"/>
    </row>
    <row r="85" spans="1:2">
      <c r="A85" s="18"/>
      <c r="B85" s="18"/>
    </row>
    <row r="86" spans="1:2">
      <c r="A86" s="18"/>
      <c r="B86" s="18"/>
    </row>
    <row r="87" spans="1:2">
      <c r="A87" s="15"/>
      <c r="B87" s="15"/>
    </row>
    <row r="88" spans="1:2">
      <c r="A88" s="18"/>
      <c r="B88" s="18"/>
    </row>
    <row r="89" spans="1:2">
      <c r="A89" s="15"/>
      <c r="B89" s="15"/>
    </row>
    <row r="90" spans="1:2">
      <c r="A90" s="15"/>
      <c r="B90" s="15"/>
    </row>
    <row r="91" spans="1:2">
      <c r="A91" s="18"/>
      <c r="B91" s="18"/>
    </row>
    <row r="92" spans="1:2">
      <c r="A92" s="18"/>
      <c r="B92" s="18"/>
    </row>
    <row r="93" spans="1:2">
      <c r="A93" s="15"/>
      <c r="B93" s="15"/>
    </row>
    <row r="94" spans="1:2">
      <c r="A94" s="18"/>
      <c r="B94" s="18"/>
    </row>
    <row r="95" spans="1:2">
      <c r="A95" s="18"/>
      <c r="B95" s="18"/>
    </row>
    <row r="96" spans="1:2">
      <c r="A96" s="18"/>
      <c r="B96" s="18"/>
    </row>
    <row r="97" spans="1:2">
      <c r="A97" s="15"/>
      <c r="B97" s="15"/>
    </row>
    <row r="98" spans="1:2">
      <c r="A98" s="15"/>
      <c r="B98" s="15"/>
    </row>
    <row r="99" spans="1:2">
      <c r="A99" s="15"/>
      <c r="B99" s="15"/>
    </row>
    <row r="100" spans="1:2">
      <c r="A100" s="18"/>
      <c r="B100" s="18"/>
    </row>
    <row r="101" spans="1:2">
      <c r="A101" s="18"/>
      <c r="B101" s="18"/>
    </row>
    <row r="102" spans="1:2">
      <c r="A102" s="18"/>
      <c r="B102" s="18"/>
    </row>
    <row r="103" spans="1:2">
      <c r="A103" s="18"/>
      <c r="B103" s="18"/>
    </row>
    <row r="104" spans="1:2">
      <c r="A104" s="15"/>
      <c r="B104" s="15"/>
    </row>
    <row r="105" spans="1:2">
      <c r="A105" s="18"/>
      <c r="B105" s="18"/>
    </row>
    <row r="106" spans="1:2">
      <c r="A106" s="15"/>
      <c r="B106" s="15"/>
    </row>
    <row r="107" spans="1:2">
      <c r="A107" s="18"/>
      <c r="B107" s="18"/>
    </row>
    <row r="108" spans="1:2">
      <c r="A108" s="15"/>
      <c r="B108" s="15"/>
    </row>
    <row r="109" spans="1:2">
      <c r="A109" s="18"/>
      <c r="B109" s="18"/>
    </row>
    <row r="110" spans="1:2">
      <c r="A110" s="15"/>
      <c r="B110" s="15"/>
    </row>
    <row r="111" spans="1:2">
      <c r="A111" s="18"/>
      <c r="B111" s="18"/>
    </row>
    <row r="112" spans="1:2">
      <c r="A112" s="18"/>
      <c r="B112" s="18"/>
    </row>
    <row r="113" spans="1:2">
      <c r="A113" s="15"/>
      <c r="B113" s="15"/>
    </row>
    <row r="114" spans="1:2">
      <c r="A114" s="15"/>
      <c r="B114" s="15"/>
    </row>
    <row r="115" spans="1:2">
      <c r="A115" s="18"/>
      <c r="B115" s="18"/>
    </row>
    <row r="116" spans="1:2">
      <c r="A116" s="15"/>
      <c r="B116" s="15"/>
    </row>
    <row r="117" spans="1:2">
      <c r="A117" s="15"/>
      <c r="B117" s="15"/>
    </row>
    <row r="118" spans="1:2">
      <c r="A118" s="15"/>
      <c r="B118" s="15"/>
    </row>
    <row r="119" spans="1:2">
      <c r="A119" s="15"/>
      <c r="B119" s="15"/>
    </row>
    <row r="120" spans="1:2">
      <c r="A120" s="15"/>
      <c r="B120" s="15"/>
    </row>
    <row r="121" spans="1:2">
      <c r="A121" s="15"/>
      <c r="B121" s="15"/>
    </row>
    <row r="122" spans="1:2">
      <c r="A122" s="15"/>
      <c r="B122" s="15"/>
    </row>
    <row r="123" spans="1:2">
      <c r="A123" s="18"/>
      <c r="B123" s="18"/>
    </row>
    <row r="124" spans="1:2">
      <c r="A124" s="15"/>
      <c r="B124" s="15"/>
    </row>
    <row r="125" spans="1:2">
      <c r="A125" s="15"/>
      <c r="B125" s="15"/>
    </row>
    <row r="126" spans="1:2">
      <c r="A126" s="15"/>
      <c r="B126" s="15"/>
    </row>
    <row r="127" spans="1:2">
      <c r="A127" s="15"/>
      <c r="B127" s="15"/>
    </row>
    <row r="128" spans="1:2">
      <c r="A128" s="15"/>
      <c r="B128" s="15"/>
    </row>
    <row r="129" spans="1:2">
      <c r="A129" s="18"/>
      <c r="B129" s="18"/>
    </row>
    <row r="130" spans="1:2">
      <c r="A130" s="18"/>
      <c r="B130" s="18"/>
    </row>
    <row r="131" spans="1:2">
      <c r="A131" s="18"/>
      <c r="B131" s="18"/>
    </row>
    <row r="132" spans="1:2">
      <c r="A132" s="18"/>
      <c r="B132" s="18"/>
    </row>
    <row r="133" spans="1:2">
      <c r="A133" s="18"/>
      <c r="B133" s="18"/>
    </row>
    <row r="134" spans="1:2">
      <c r="A134" s="18"/>
      <c r="B134" s="18"/>
    </row>
    <row r="135" spans="1:2">
      <c r="A135" s="18"/>
      <c r="B135" s="18"/>
    </row>
    <row r="136" spans="1:2">
      <c r="A136" s="18"/>
      <c r="B136" s="18"/>
    </row>
    <row r="137" spans="1:2">
      <c r="A137" s="18"/>
      <c r="B137" s="18"/>
    </row>
    <row r="138" spans="1:2">
      <c r="A138" s="15"/>
      <c r="B138" s="15"/>
    </row>
    <row r="139" spans="1:2">
      <c r="A139" s="15"/>
      <c r="B139" s="15"/>
    </row>
    <row r="140" spans="1:2">
      <c r="A140" s="15"/>
      <c r="B140" s="15"/>
    </row>
    <row r="141" spans="1:2">
      <c r="A141" s="18"/>
      <c r="B141" s="18"/>
    </row>
    <row r="142" spans="1:2">
      <c r="A142" s="18"/>
      <c r="B142" s="18"/>
    </row>
    <row r="143" spans="1:2">
      <c r="A143" s="18"/>
      <c r="B143" s="18"/>
    </row>
    <row r="144" spans="1:2">
      <c r="A144" s="15"/>
      <c r="B144" s="15"/>
    </row>
    <row r="145" spans="1:2">
      <c r="A145" s="18"/>
      <c r="B145" s="18"/>
    </row>
    <row r="146" spans="1:2">
      <c r="A146" s="18"/>
      <c r="B146" s="18"/>
    </row>
    <row r="147" spans="1:2">
      <c r="A147" s="18"/>
      <c r="B147" s="18"/>
    </row>
    <row r="148" spans="1:2">
      <c r="A148" s="18"/>
      <c r="B148" s="18"/>
    </row>
    <row r="149" spans="1:2">
      <c r="A149" s="15"/>
      <c r="B149" s="15"/>
    </row>
    <row r="150" spans="1:2">
      <c r="A150" s="15"/>
      <c r="B150" s="15"/>
    </row>
    <row r="151" spans="1:2">
      <c r="A151" s="15"/>
      <c r="B151" s="15"/>
    </row>
    <row r="152" spans="1:2">
      <c r="A152" s="15"/>
      <c r="B152" s="15"/>
    </row>
    <row r="153" spans="1:2">
      <c r="A153" s="18"/>
      <c r="B153" s="18"/>
    </row>
    <row r="154" spans="1:2">
      <c r="A154" s="18"/>
      <c r="B154" s="18"/>
    </row>
    <row r="155" spans="1:2">
      <c r="A155" s="15"/>
      <c r="B155" s="15"/>
    </row>
    <row r="156" spans="1:2">
      <c r="A156" s="15"/>
      <c r="B156" s="15"/>
    </row>
    <row r="157" spans="1:2">
      <c r="A157" s="18"/>
      <c r="B157" s="18"/>
    </row>
    <row r="158" spans="1:2">
      <c r="A158" s="15"/>
      <c r="B158" s="15"/>
    </row>
    <row r="159" spans="1:2">
      <c r="A159" s="15"/>
      <c r="B159" s="15"/>
    </row>
    <row r="160" spans="1:2">
      <c r="A160" s="18"/>
      <c r="B160" s="18"/>
    </row>
    <row r="161" spans="1:2">
      <c r="A161" s="18"/>
      <c r="B161" s="18"/>
    </row>
    <row r="162" spans="1:2">
      <c r="A162" s="15"/>
      <c r="B162" s="15"/>
    </row>
    <row r="163" spans="1:2">
      <c r="A163" s="15"/>
      <c r="B163" s="15"/>
    </row>
    <row r="164" spans="1:2">
      <c r="A164" s="15"/>
      <c r="B164" s="15"/>
    </row>
    <row r="165" spans="1:2">
      <c r="A165" s="18"/>
      <c r="B165" s="18"/>
    </row>
    <row r="166" spans="1:2">
      <c r="A166" s="18"/>
      <c r="B166" s="18"/>
    </row>
    <row r="167" spans="1:2">
      <c r="A167" s="15"/>
      <c r="B167" s="15"/>
    </row>
    <row r="168" spans="1:2">
      <c r="A168" s="18"/>
      <c r="B168" s="18"/>
    </row>
    <row r="169" spans="1:2">
      <c r="A169" s="15"/>
      <c r="B169" s="15"/>
    </row>
    <row r="170" spans="1:2">
      <c r="A170" s="18"/>
      <c r="B170" s="18"/>
    </row>
    <row r="171" spans="1:2">
      <c r="A171" s="18"/>
      <c r="B171" s="18"/>
    </row>
    <row r="172" spans="1:2">
      <c r="A172" s="15"/>
      <c r="B172" s="15"/>
    </row>
    <row r="173" spans="1:2">
      <c r="A173" s="15"/>
      <c r="B173" s="15"/>
    </row>
    <row r="174" spans="1:2">
      <c r="A174" s="15"/>
      <c r="B174" s="15"/>
    </row>
    <row r="175" spans="1:2">
      <c r="A175" s="18"/>
      <c r="B175" s="18"/>
    </row>
    <row r="176" spans="1:2">
      <c r="A176" s="18"/>
      <c r="B176" s="18"/>
    </row>
    <row r="177" spans="1:2">
      <c r="A177" s="18"/>
      <c r="B177" s="18"/>
    </row>
    <row r="178" spans="1:2">
      <c r="A178" s="18"/>
      <c r="B178" s="18"/>
    </row>
    <row r="179" spans="1:2">
      <c r="A179" s="15"/>
      <c r="B179" s="15"/>
    </row>
    <row r="180" spans="1:2">
      <c r="A180" s="15"/>
      <c r="B180" s="15"/>
    </row>
    <row r="181" spans="1:2">
      <c r="A181" s="15"/>
      <c r="B181" s="15"/>
    </row>
    <row r="182" spans="1:2">
      <c r="A182" s="15"/>
      <c r="B182" s="15"/>
    </row>
    <row r="183" spans="1:2">
      <c r="A183" s="15"/>
      <c r="B183" s="15"/>
    </row>
    <row r="184" spans="1:2">
      <c r="A184" s="15"/>
      <c r="B184" s="15"/>
    </row>
    <row r="185" spans="1:2">
      <c r="A185" s="15"/>
      <c r="B185" s="15"/>
    </row>
    <row r="186" spans="1:2">
      <c r="A186" s="18"/>
      <c r="B186" s="18"/>
    </row>
    <row r="187" spans="1:2">
      <c r="A187" s="18"/>
      <c r="B187" s="18"/>
    </row>
    <row r="188" spans="1:2">
      <c r="A188" s="18"/>
      <c r="B188" s="18"/>
    </row>
    <row r="189" spans="1:2">
      <c r="A189" s="15"/>
      <c r="B189" s="15"/>
    </row>
    <row r="190" spans="1:2">
      <c r="A190" s="18"/>
      <c r="B190" s="18"/>
    </row>
    <row r="191" spans="1:2">
      <c r="A191" s="18"/>
      <c r="B191" s="18"/>
    </row>
    <row r="192" spans="1:2">
      <c r="A192" s="18"/>
      <c r="B192" s="18"/>
    </row>
    <row r="193" spans="1:2">
      <c r="A193" s="18"/>
      <c r="B193" s="18"/>
    </row>
    <row r="194" spans="1:2">
      <c r="A194" s="15"/>
      <c r="B194" s="15"/>
    </row>
    <row r="195" spans="1:2">
      <c r="A195" s="15"/>
      <c r="B195" s="15"/>
    </row>
    <row r="196" spans="1:2">
      <c r="A196" s="15"/>
      <c r="B196" s="15"/>
    </row>
    <row r="197" spans="1:2">
      <c r="A197" s="18"/>
      <c r="B197" s="18"/>
    </row>
    <row r="198" spans="1:2">
      <c r="A198" s="18"/>
      <c r="B198" s="18"/>
    </row>
    <row r="199" spans="1:2">
      <c r="A199" s="15"/>
      <c r="B199" s="15"/>
    </row>
    <row r="200" spans="1:2">
      <c r="A200" s="18"/>
      <c r="B200" s="18"/>
    </row>
    <row r="201" spans="1:2">
      <c r="A201" s="18"/>
      <c r="B201" s="18"/>
    </row>
    <row r="202" spans="1:2">
      <c r="A202" s="15"/>
      <c r="B202" s="15"/>
    </row>
    <row r="203" spans="1:2">
      <c r="A203" s="18"/>
      <c r="B203" s="18"/>
    </row>
    <row r="204" spans="1:2">
      <c r="A204" s="18"/>
      <c r="B204" s="18"/>
    </row>
    <row r="205" spans="1:2">
      <c r="A205" s="18"/>
      <c r="B205" s="18"/>
    </row>
    <row r="206" spans="1:2">
      <c r="A206" s="18"/>
      <c r="B206" s="18"/>
    </row>
    <row r="207" spans="1:2">
      <c r="A207" s="15"/>
      <c r="B207" s="15"/>
    </row>
    <row r="208" spans="1:2">
      <c r="A208" s="18"/>
      <c r="B208" s="18"/>
    </row>
    <row r="209" spans="1:2">
      <c r="A209" s="18"/>
      <c r="B209" s="18"/>
    </row>
    <row r="210" spans="1:2">
      <c r="A210" s="15"/>
      <c r="B210" s="15"/>
    </row>
    <row r="211" spans="1:2">
      <c r="A211" s="15"/>
      <c r="B211" s="15"/>
    </row>
    <row r="212" spans="1:2">
      <c r="A212" s="18"/>
      <c r="B212" s="18"/>
    </row>
    <row r="213" spans="1:2">
      <c r="A213" s="18"/>
      <c r="B213" s="18"/>
    </row>
    <row r="214" spans="1:2">
      <c r="A214" s="15"/>
      <c r="B214" s="15"/>
    </row>
    <row r="215" spans="1:2">
      <c r="A215" s="18"/>
      <c r="B215" s="18"/>
    </row>
    <row r="216" spans="1:2">
      <c r="A216" s="18"/>
      <c r="B216" s="18"/>
    </row>
    <row r="217" spans="1:2">
      <c r="A217" s="18"/>
      <c r="B217" s="18"/>
    </row>
    <row r="218" spans="1:2">
      <c r="A218" s="18"/>
      <c r="B218" s="18"/>
    </row>
    <row r="219" spans="1:2">
      <c r="A219" s="18"/>
      <c r="B219" s="18"/>
    </row>
    <row r="220" spans="1:2">
      <c r="A220" s="18"/>
      <c r="B220" s="18"/>
    </row>
    <row r="221" spans="1:2">
      <c r="A221" s="18"/>
      <c r="B221" s="18"/>
    </row>
    <row r="222" spans="1:2">
      <c r="A222" s="18"/>
      <c r="B222" s="18"/>
    </row>
    <row r="223" spans="1:2">
      <c r="A223" s="15"/>
      <c r="B223" s="15"/>
    </row>
    <row r="224" spans="1:2">
      <c r="A224" s="18"/>
      <c r="B224" s="18"/>
    </row>
    <row r="225" spans="1:2">
      <c r="A225" s="18"/>
      <c r="B225" s="18"/>
    </row>
    <row r="226" spans="1:2">
      <c r="A226" s="18"/>
      <c r="B226" s="18"/>
    </row>
    <row r="227" spans="1:2">
      <c r="A227" s="15"/>
      <c r="B227" s="15"/>
    </row>
    <row r="228" spans="1:2">
      <c r="A228" s="18"/>
      <c r="B228" s="18"/>
    </row>
    <row r="229" spans="1:2">
      <c r="A229" s="15"/>
      <c r="B229" s="15"/>
    </row>
    <row r="230" spans="1:2">
      <c r="A230" s="18"/>
      <c r="B230" s="18"/>
    </row>
    <row r="231" spans="1:2">
      <c r="A231" s="18"/>
      <c r="B231" s="18"/>
    </row>
    <row r="232" spans="1:2">
      <c r="A232" s="15"/>
      <c r="B232" s="15"/>
    </row>
    <row r="233" spans="1:2">
      <c r="A233" s="15"/>
      <c r="B233" s="15"/>
    </row>
    <row r="234" spans="1:2">
      <c r="A234" s="15"/>
      <c r="B234" s="15"/>
    </row>
    <row r="235" spans="1:2">
      <c r="A235" s="18"/>
      <c r="B235" s="18"/>
    </row>
    <row r="236" spans="1:2">
      <c r="A236" s="15"/>
      <c r="B236" s="15"/>
    </row>
    <row r="237" spans="1:2">
      <c r="A237" s="18"/>
      <c r="B237" s="18"/>
    </row>
    <row r="238" spans="1:2">
      <c r="A238" s="15"/>
      <c r="B238" s="15"/>
    </row>
    <row r="239" spans="1:2">
      <c r="A239" s="18"/>
      <c r="B239" s="18"/>
    </row>
    <row r="240" spans="1:2">
      <c r="A240" s="15"/>
      <c r="B240" s="15"/>
    </row>
    <row r="241" spans="1:2">
      <c r="A241" s="15"/>
      <c r="B241" s="15"/>
    </row>
    <row r="242" spans="1:2">
      <c r="A242" s="15"/>
      <c r="B242" s="15"/>
    </row>
    <row r="243" spans="1:2">
      <c r="A243" s="15"/>
      <c r="B243" s="15"/>
    </row>
    <row r="244" spans="1:2">
      <c r="A244" s="18"/>
      <c r="B244" s="18"/>
    </row>
    <row r="245" spans="1:2">
      <c r="A245" s="15"/>
      <c r="B245" s="15"/>
    </row>
    <row r="246" spans="1:2">
      <c r="A246" s="18"/>
      <c r="B246" s="18"/>
    </row>
    <row r="247" spans="1:2">
      <c r="A247" s="18"/>
      <c r="B247" s="18"/>
    </row>
    <row r="248" spans="1:2">
      <c r="A248" s="15"/>
      <c r="B248" s="15"/>
    </row>
    <row r="249" spans="1:2">
      <c r="A249" s="18"/>
      <c r="B249" s="18"/>
    </row>
    <row r="250" spans="1:2">
      <c r="A250" s="18"/>
      <c r="B250" s="18"/>
    </row>
    <row r="251" spans="1:2">
      <c r="A251" s="15"/>
      <c r="B251" s="15"/>
    </row>
    <row r="252" spans="1:2">
      <c r="A252" s="15"/>
      <c r="B252" s="15"/>
    </row>
    <row r="253" spans="1:2">
      <c r="A253" s="18"/>
      <c r="B253" s="18"/>
    </row>
    <row r="254" spans="1:2">
      <c r="A254" s="18"/>
      <c r="B254" s="18"/>
    </row>
    <row r="255" spans="1:2">
      <c r="A255" s="15"/>
      <c r="B255" s="15"/>
    </row>
    <row r="256" spans="1:2">
      <c r="A256" s="18"/>
      <c r="B256" s="18"/>
    </row>
    <row r="257" spans="1:2">
      <c r="A257" s="15"/>
      <c r="B257" s="15"/>
    </row>
    <row r="258" spans="1:2">
      <c r="A258" s="15"/>
      <c r="B258" s="15"/>
    </row>
    <row r="259" spans="1:2">
      <c r="A259" s="15"/>
      <c r="B259" s="15"/>
    </row>
    <row r="260" spans="1:2">
      <c r="A260" s="15"/>
      <c r="B260" s="15"/>
    </row>
    <row r="261" spans="1:2">
      <c r="A261" s="18"/>
      <c r="B261" s="18"/>
    </row>
    <row r="262" spans="1:2">
      <c r="A262" s="18"/>
      <c r="B262" s="18"/>
    </row>
    <row r="263" spans="1:2">
      <c r="A263" s="15"/>
      <c r="B263" s="15"/>
    </row>
    <row r="264" spans="1:2">
      <c r="A264" s="15"/>
      <c r="B264" s="15"/>
    </row>
    <row r="265" spans="1:2">
      <c r="A265" s="18"/>
      <c r="B265" s="18"/>
    </row>
    <row r="266" spans="1:2">
      <c r="A266" s="18"/>
      <c r="B266" s="18"/>
    </row>
    <row r="267" spans="1:2">
      <c r="A267" s="15"/>
      <c r="B267" s="15"/>
    </row>
    <row r="268" spans="1:2">
      <c r="A268" s="18"/>
      <c r="B268" s="18"/>
    </row>
    <row r="269" spans="1:2">
      <c r="A269" s="18"/>
      <c r="B269" s="18"/>
    </row>
    <row r="270" spans="1:2">
      <c r="A270" s="18"/>
      <c r="B270" s="18"/>
    </row>
    <row r="271" spans="1:2">
      <c r="A271" s="18"/>
      <c r="B271" s="18"/>
    </row>
    <row r="272" spans="1:2">
      <c r="A272" s="18"/>
      <c r="B272" s="18"/>
    </row>
    <row r="273" spans="1:2">
      <c r="A273" s="18"/>
      <c r="B273" s="18"/>
    </row>
    <row r="274" spans="1:2">
      <c r="A274" s="18"/>
      <c r="B274" s="18"/>
    </row>
    <row r="275" spans="1:2">
      <c r="A275" s="15"/>
      <c r="B275" s="15"/>
    </row>
    <row r="276" spans="1:2">
      <c r="A276" s="15"/>
      <c r="B276" s="15"/>
    </row>
    <row r="277" spans="1:2">
      <c r="A277" s="15"/>
      <c r="B277" s="15"/>
    </row>
    <row r="278" spans="1:2">
      <c r="A278" s="15"/>
      <c r="B278" s="15"/>
    </row>
    <row r="279" spans="1:2">
      <c r="A279" s="15"/>
      <c r="B279" s="15"/>
    </row>
    <row r="280" spans="1:2">
      <c r="A280" s="18"/>
      <c r="B280" s="18"/>
    </row>
    <row r="281" spans="1:2">
      <c r="A281" s="18"/>
      <c r="B281" s="18"/>
    </row>
    <row r="282" spans="1:2">
      <c r="A282" s="18"/>
      <c r="B282" s="18"/>
    </row>
    <row r="283" spans="1:2">
      <c r="A283" s="18"/>
      <c r="B283" s="18"/>
    </row>
    <row r="284" spans="1:2">
      <c r="A284" s="15"/>
      <c r="B284" s="15"/>
    </row>
    <row r="285" spans="1:2">
      <c r="A285" s="15"/>
      <c r="B285" s="15"/>
    </row>
    <row r="286" spans="1:2">
      <c r="A286" s="18"/>
      <c r="B286" s="18"/>
    </row>
    <row r="287" spans="1:2">
      <c r="A287" s="15"/>
      <c r="B287" s="15"/>
    </row>
    <row r="288" spans="1:2">
      <c r="A288" s="18"/>
      <c r="B288" s="18"/>
    </row>
    <row r="289" spans="1:2">
      <c r="A289" s="15"/>
      <c r="B289" s="15"/>
    </row>
    <row r="290" spans="1:2">
      <c r="A290" s="18"/>
      <c r="B290" s="18"/>
    </row>
    <row r="291" spans="1:2">
      <c r="A291" s="18"/>
      <c r="B291" s="18"/>
    </row>
    <row r="292" spans="1:2">
      <c r="A292" s="18"/>
      <c r="B292" s="18"/>
    </row>
    <row r="293" spans="1:2">
      <c r="A293" s="18"/>
      <c r="B293" s="18"/>
    </row>
    <row r="294" spans="1:2">
      <c r="A294" s="18"/>
      <c r="B294" s="18"/>
    </row>
    <row r="295" spans="1:2">
      <c r="A295" s="18"/>
      <c r="B295" s="18"/>
    </row>
    <row r="296" spans="1:2">
      <c r="A296" s="15"/>
      <c r="B296" s="15"/>
    </row>
    <row r="297" spans="1:2">
      <c r="A297" s="18"/>
      <c r="B297" s="18"/>
    </row>
    <row r="298" spans="1:2">
      <c r="A298" s="18"/>
      <c r="B298" s="18"/>
    </row>
    <row r="299" spans="1:2">
      <c r="A299" s="18"/>
      <c r="B299" s="18"/>
    </row>
    <row r="300" spans="1:2">
      <c r="A300" s="15"/>
      <c r="B300" s="15"/>
    </row>
    <row r="301" spans="1:2">
      <c r="A301" s="15"/>
      <c r="B301" s="15"/>
    </row>
    <row r="302" spans="1:2">
      <c r="A302" s="15"/>
      <c r="B302" s="15"/>
    </row>
    <row r="303" spans="1:2">
      <c r="A303" s="15"/>
      <c r="B303" s="15"/>
    </row>
    <row r="304" spans="1:2">
      <c r="A304" s="15"/>
      <c r="B304" s="15"/>
    </row>
    <row r="305" spans="1:2">
      <c r="A305" s="15"/>
      <c r="B305" s="15"/>
    </row>
    <row r="306" spans="1:2">
      <c r="A306" s="18"/>
      <c r="B306" s="18"/>
    </row>
    <row r="307" spans="1:2">
      <c r="A307" s="18"/>
      <c r="B307" s="18"/>
    </row>
    <row r="308" spans="1:2">
      <c r="A308" s="15"/>
      <c r="B308" s="15"/>
    </row>
    <row r="309" spans="1:2">
      <c r="A309" s="15"/>
      <c r="B309" s="15"/>
    </row>
    <row r="310" spans="1:2">
      <c r="A310" s="15"/>
      <c r="B310" s="15"/>
    </row>
    <row r="311" spans="1:2">
      <c r="A311" s="15"/>
      <c r="B311" s="15"/>
    </row>
    <row r="312" spans="1:2">
      <c r="A312" s="15"/>
      <c r="B312" s="15"/>
    </row>
    <row r="313" spans="1:2">
      <c r="A313" s="15"/>
      <c r="B313" s="15"/>
    </row>
    <row r="314" spans="1:2">
      <c r="A314" s="15"/>
      <c r="B314" s="15"/>
    </row>
    <row r="315" spans="1:2">
      <c r="A315" s="15"/>
      <c r="B315" s="15"/>
    </row>
    <row r="316" spans="1:2">
      <c r="A316" s="15"/>
      <c r="B316" s="15"/>
    </row>
    <row r="317" spans="1:2">
      <c r="A317" s="15"/>
      <c r="B317" s="15"/>
    </row>
    <row r="318" spans="1:2">
      <c r="A318" s="15"/>
      <c r="B318" s="15"/>
    </row>
    <row r="319" spans="1:2">
      <c r="A319" s="15"/>
      <c r="B319" s="15"/>
    </row>
    <row r="320" spans="1:2">
      <c r="A320" s="18"/>
      <c r="B320" s="18"/>
    </row>
    <row r="321" spans="1:2">
      <c r="A321" s="15"/>
      <c r="B321" s="15"/>
    </row>
    <row r="322" spans="1:2">
      <c r="A322" s="15"/>
      <c r="B322" s="15"/>
    </row>
    <row r="323" spans="1:2">
      <c r="A323" s="18"/>
      <c r="B323" s="18"/>
    </row>
    <row r="324" spans="1:2">
      <c r="A324" s="18"/>
      <c r="B324" s="18"/>
    </row>
    <row r="325" spans="1:2">
      <c r="A325" s="18"/>
      <c r="B325" s="18"/>
    </row>
    <row r="326" spans="1:2">
      <c r="A326" s="18"/>
      <c r="B326" s="18"/>
    </row>
    <row r="327" spans="1:2">
      <c r="A327" s="15"/>
      <c r="B327" s="15"/>
    </row>
    <row r="328" spans="1:2">
      <c r="A328" s="15"/>
      <c r="B328" s="15"/>
    </row>
    <row r="329" spans="1:2">
      <c r="A329" s="18"/>
      <c r="B329" s="18"/>
    </row>
    <row r="330" spans="1:2">
      <c r="A330" s="18"/>
      <c r="B330" s="18"/>
    </row>
    <row r="331" spans="1:2">
      <c r="A331" s="15"/>
      <c r="B331" s="15"/>
    </row>
    <row r="332" spans="1:2">
      <c r="A332" s="15"/>
      <c r="B332" s="15"/>
    </row>
    <row r="333" spans="1:2">
      <c r="A333" s="15"/>
      <c r="B333" s="15"/>
    </row>
    <row r="334" spans="1:2">
      <c r="A334" s="18"/>
      <c r="B334" s="18"/>
    </row>
    <row r="335" spans="1:2">
      <c r="A335" s="18"/>
      <c r="B335" s="18"/>
    </row>
    <row r="336" spans="1:2">
      <c r="A336" s="18"/>
      <c r="B336" s="18"/>
    </row>
    <row r="337" spans="1:2">
      <c r="A337" s="18"/>
      <c r="B337" s="18"/>
    </row>
    <row r="338" spans="1:2">
      <c r="A338" s="18"/>
      <c r="B338" s="18"/>
    </row>
    <row r="339" spans="1:2">
      <c r="A339" s="15"/>
      <c r="B339" s="15"/>
    </row>
    <row r="340" spans="1:2">
      <c r="A340" s="15"/>
      <c r="B340" s="15"/>
    </row>
    <row r="341" spans="1:2">
      <c r="A341" s="15"/>
      <c r="B341" s="15"/>
    </row>
    <row r="342" spans="1:2">
      <c r="A342" s="18"/>
      <c r="B342" s="18"/>
    </row>
    <row r="343" spans="1:2">
      <c r="A343" s="18"/>
      <c r="B343" s="18"/>
    </row>
    <row r="344" spans="1:2">
      <c r="A344" s="15"/>
      <c r="B344" s="15"/>
    </row>
    <row r="345" spans="1:2">
      <c r="A345" s="13"/>
      <c r="B345" s="13"/>
    </row>
    <row r="346" spans="1:2">
      <c r="A346" s="18"/>
      <c r="B346" s="18"/>
    </row>
    <row r="347" spans="1:2">
      <c r="A347" s="15"/>
      <c r="B347" s="15"/>
    </row>
    <row r="348" spans="1:2">
      <c r="A348" s="18"/>
      <c r="B348" s="18"/>
    </row>
    <row r="349" spans="1:2">
      <c r="A349" s="15"/>
      <c r="B349" s="15"/>
    </row>
    <row r="350" spans="1:2">
      <c r="A350" s="15"/>
      <c r="B350" s="15"/>
    </row>
    <row r="351" spans="1:2">
      <c r="A351" s="15"/>
      <c r="B351" s="15"/>
    </row>
    <row r="352" spans="1:2">
      <c r="A352" s="15"/>
      <c r="B352" s="15"/>
    </row>
    <row r="353" spans="1:2">
      <c r="A353" s="18"/>
      <c r="B353" s="18"/>
    </row>
    <row r="354" spans="1:2">
      <c r="A354" s="15"/>
      <c r="B354" s="15"/>
    </row>
    <row r="355" spans="1:2">
      <c r="A355" s="18"/>
      <c r="B355" s="18"/>
    </row>
    <row r="356" spans="1:2">
      <c r="A356" s="18"/>
      <c r="B356" s="18"/>
    </row>
    <row r="357" spans="1:2">
      <c r="A357" s="18"/>
      <c r="B357" s="18"/>
    </row>
    <row r="358" spans="1:2">
      <c r="A358" s="18"/>
      <c r="B358" s="18"/>
    </row>
    <row r="359" spans="1:2">
      <c r="A359" s="15"/>
      <c r="B359" s="15"/>
    </row>
    <row r="360" spans="1:2">
      <c r="A360" s="18"/>
      <c r="B360" s="18"/>
    </row>
    <row r="361" spans="1:2">
      <c r="A361" s="15"/>
      <c r="B361" s="15"/>
    </row>
    <row r="362" spans="1:2">
      <c r="A362" s="15"/>
      <c r="B362" s="15"/>
    </row>
    <row r="363" spans="1:2">
      <c r="A363" s="18"/>
      <c r="B363" s="18"/>
    </row>
    <row r="364" spans="1:2">
      <c r="A364" s="15"/>
      <c r="B364" s="15"/>
    </row>
    <row r="365" spans="1:2">
      <c r="A365" s="15"/>
      <c r="B365" s="15"/>
    </row>
    <row r="366" spans="1:2">
      <c r="A366" s="15"/>
      <c r="B366" s="15"/>
    </row>
    <row r="367" spans="1:2">
      <c r="A367" s="15"/>
      <c r="B367" s="15"/>
    </row>
    <row r="368" spans="1:2">
      <c r="A368" s="15"/>
      <c r="B368" s="15"/>
    </row>
    <row r="369" spans="1:2">
      <c r="A369" s="18"/>
      <c r="B369" s="18"/>
    </row>
    <row r="370" spans="1:2">
      <c r="A370" s="15"/>
      <c r="B370" s="15"/>
    </row>
    <row r="371" spans="1:2">
      <c r="A371" s="15"/>
      <c r="B371" s="15"/>
    </row>
    <row r="372" spans="1:2">
      <c r="A372" s="18"/>
      <c r="B372" s="18"/>
    </row>
    <row r="373" spans="1:2">
      <c r="A373" s="15"/>
      <c r="B373" s="15"/>
    </row>
    <row r="374" spans="1:2">
      <c r="A374" s="15"/>
      <c r="B374" s="15"/>
    </row>
    <row r="375" spans="1:2">
      <c r="A375" s="15"/>
      <c r="B375" s="15"/>
    </row>
    <row r="376" spans="1:2">
      <c r="A376" s="18"/>
      <c r="B376" s="18"/>
    </row>
    <row r="377" spans="1:2">
      <c r="A377" s="15"/>
      <c r="B377" s="15"/>
    </row>
    <row r="378" spans="1:2">
      <c r="A378" s="18"/>
      <c r="B378" s="18"/>
    </row>
    <row r="379" spans="1:2">
      <c r="A379" s="18"/>
      <c r="B379" s="18"/>
    </row>
    <row r="380" spans="1:2">
      <c r="A380" s="15"/>
      <c r="B380" s="15"/>
    </row>
    <row r="381" spans="1:2">
      <c r="A381" s="18"/>
      <c r="B381" s="18"/>
    </row>
    <row r="382" spans="1:2">
      <c r="A382" s="15"/>
      <c r="B382" s="15"/>
    </row>
    <row r="383" spans="1:2">
      <c r="A383" s="18"/>
      <c r="B383" s="18"/>
    </row>
    <row r="384" spans="1:2">
      <c r="A384" s="18"/>
      <c r="B384" s="18"/>
    </row>
    <row r="385" spans="1:2">
      <c r="A385" s="18"/>
      <c r="B385" s="18"/>
    </row>
    <row r="386" spans="1:2">
      <c r="A386" s="15"/>
      <c r="B386" s="15"/>
    </row>
    <row r="387" spans="1:2">
      <c r="A387" s="18"/>
      <c r="B387" s="18"/>
    </row>
    <row r="388" spans="1:2">
      <c r="A388" s="18"/>
      <c r="B388" s="18"/>
    </row>
    <row r="389" spans="1:2">
      <c r="A389" s="15"/>
      <c r="B389" s="15"/>
    </row>
    <row r="390" spans="1:2">
      <c r="A390" s="18"/>
      <c r="B390" s="18"/>
    </row>
    <row r="391" spans="1:2">
      <c r="A391" s="15"/>
      <c r="B391" s="15"/>
    </row>
    <row r="392" spans="1:2">
      <c r="A392" s="15"/>
      <c r="B392" s="15"/>
    </row>
    <row r="393" spans="1:2">
      <c r="A393" s="15"/>
      <c r="B393" s="15"/>
    </row>
    <row r="394" spans="1:2">
      <c r="A394" s="15"/>
      <c r="B394" s="15"/>
    </row>
    <row r="395" spans="1:2">
      <c r="A395" s="15"/>
      <c r="B395" s="15"/>
    </row>
    <row r="396" spans="1:2">
      <c r="A396" s="18"/>
      <c r="B396" s="18"/>
    </row>
    <row r="397" spans="1:2">
      <c r="A397" s="15"/>
      <c r="B397" s="15"/>
    </row>
    <row r="398" spans="1:2">
      <c r="A398" s="15"/>
      <c r="B398" s="15"/>
    </row>
    <row r="399" spans="1:2">
      <c r="A399" s="15"/>
      <c r="B399" s="15"/>
    </row>
    <row r="400" spans="1:2">
      <c r="A400" s="15"/>
      <c r="B400" s="15"/>
    </row>
    <row r="401" spans="1:2">
      <c r="A401" s="15"/>
      <c r="B401" s="15"/>
    </row>
    <row r="402" spans="1:2">
      <c r="A402" s="15"/>
      <c r="B402" s="15"/>
    </row>
    <row r="403" spans="1:2">
      <c r="A403" s="15"/>
      <c r="B403" s="15"/>
    </row>
    <row r="404" spans="1:2">
      <c r="A404" s="15"/>
      <c r="B404" s="15"/>
    </row>
    <row r="405" spans="1:2">
      <c r="A405" s="15"/>
      <c r="B405" s="15"/>
    </row>
    <row r="406" spans="1:2">
      <c r="A406" s="15"/>
      <c r="B406" s="15"/>
    </row>
    <row r="407" spans="1:2">
      <c r="A407" s="15"/>
      <c r="B407" s="15"/>
    </row>
    <row r="408" spans="1:2">
      <c r="A408" s="15"/>
      <c r="B408" s="15"/>
    </row>
    <row r="409" spans="1:2">
      <c r="A409" s="15"/>
      <c r="B409" s="15"/>
    </row>
    <row r="410" spans="1:2">
      <c r="A410" s="18"/>
      <c r="B410" s="18"/>
    </row>
    <row r="411" spans="1:2">
      <c r="A411" s="18"/>
      <c r="B411" s="18"/>
    </row>
    <row r="412" spans="1:2">
      <c r="A412" s="18"/>
      <c r="B412" s="18"/>
    </row>
    <row r="413" spans="1:2">
      <c r="A413" s="18"/>
      <c r="B413" s="18"/>
    </row>
    <row r="414" spans="1:2">
      <c r="A414" s="18"/>
      <c r="B414" s="18"/>
    </row>
    <row r="415" spans="1:2">
      <c r="A415" s="15"/>
      <c r="B415" s="15"/>
    </row>
    <row r="416" spans="1:2">
      <c r="A416" s="15"/>
      <c r="B416" s="15"/>
    </row>
    <row r="417" spans="1:2">
      <c r="A417" s="18"/>
      <c r="B417" s="18"/>
    </row>
    <row r="418" spans="1:2">
      <c r="A418" s="18"/>
      <c r="B418" s="18"/>
    </row>
    <row r="419" spans="1:2">
      <c r="A419" s="15"/>
      <c r="B419" s="15"/>
    </row>
    <row r="420" spans="1:2">
      <c r="A420" s="18"/>
      <c r="B420" s="18"/>
    </row>
    <row r="421" spans="1:2">
      <c r="A421" s="15"/>
      <c r="B421" s="15"/>
    </row>
    <row r="422" spans="1:2">
      <c r="A422" s="18"/>
      <c r="B422" s="18"/>
    </row>
    <row r="423" spans="1:2">
      <c r="A423" s="18"/>
      <c r="B423" s="18"/>
    </row>
    <row r="424" spans="1:2">
      <c r="A424" s="18"/>
      <c r="B424" s="18"/>
    </row>
    <row r="425" spans="1:2">
      <c r="A425" s="15"/>
      <c r="B425" s="15"/>
    </row>
    <row r="426" spans="1:2">
      <c r="A426" s="18"/>
      <c r="B426" s="18"/>
    </row>
    <row r="427" spans="1:2">
      <c r="A427" s="18"/>
      <c r="B427" s="18"/>
    </row>
    <row r="428" spans="1:2">
      <c r="A428" s="18"/>
      <c r="B428" s="18"/>
    </row>
    <row r="429" spans="1:2">
      <c r="A429" s="15"/>
      <c r="B429" s="15"/>
    </row>
    <row r="430" spans="1:2">
      <c r="A430" s="18"/>
      <c r="B430" s="18"/>
    </row>
    <row r="431" spans="1:2">
      <c r="A431" s="15"/>
      <c r="B431" s="15"/>
    </row>
    <row r="432" spans="1:2">
      <c r="A432" s="15"/>
      <c r="B432" s="15"/>
    </row>
    <row r="433" spans="1:2">
      <c r="A433" s="15"/>
      <c r="B433" s="15"/>
    </row>
    <row r="434" spans="1:2">
      <c r="A434" s="18"/>
      <c r="B434" s="18"/>
    </row>
    <row r="435" spans="1:2">
      <c r="A435" s="15"/>
      <c r="B435" s="15"/>
    </row>
    <row r="436" spans="1:2">
      <c r="A436" s="18"/>
      <c r="B436" s="18"/>
    </row>
    <row r="437" spans="1:2">
      <c r="A437" s="18"/>
      <c r="B437" s="18"/>
    </row>
    <row r="438" spans="1:2">
      <c r="A438" s="18"/>
      <c r="B438" s="18"/>
    </row>
    <row r="439" spans="1:2">
      <c r="A439" s="15"/>
      <c r="B439" s="15"/>
    </row>
    <row r="440" spans="1:2">
      <c r="A440" s="18"/>
      <c r="B440" s="18"/>
    </row>
    <row r="441" spans="1:2">
      <c r="A441" s="18"/>
      <c r="B441" s="18"/>
    </row>
    <row r="442" spans="1:2">
      <c r="A442" s="18"/>
      <c r="B442" s="18"/>
    </row>
    <row r="443" spans="1:2">
      <c r="A443" s="15"/>
      <c r="B443" s="15"/>
    </row>
    <row r="444" spans="1:2">
      <c r="A444" s="18"/>
      <c r="B444" s="18"/>
    </row>
    <row r="445" spans="1:2">
      <c r="A445" s="15"/>
      <c r="B445" s="15"/>
    </row>
    <row r="446" spans="1:2">
      <c r="A446" s="15">
        <v>-120.0955</v>
      </c>
      <c r="B446" s="15">
        <v>39.390099999999997</v>
      </c>
    </row>
    <row r="447" spans="1:2">
      <c r="A447" s="15"/>
      <c r="B447" s="15"/>
    </row>
    <row r="448" spans="1:2">
      <c r="A448" s="15">
        <v>-97.802000000000007</v>
      </c>
      <c r="B448" s="15">
        <v>37.722999999999999</v>
      </c>
    </row>
    <row r="449" spans="1:2">
      <c r="A449" s="15">
        <v>-119.75230000000001</v>
      </c>
      <c r="B449" s="15">
        <v>48.5381</v>
      </c>
    </row>
    <row r="450" spans="1:2">
      <c r="A450" s="18"/>
      <c r="B450" s="18"/>
    </row>
    <row r="451" spans="1:2">
      <c r="A451" s="15">
        <v>-121.13</v>
      </c>
      <c r="B451" s="15">
        <v>42.2012</v>
      </c>
    </row>
    <row r="452" spans="1:2">
      <c r="A452" s="15"/>
      <c r="B452" s="15"/>
    </row>
    <row r="453" spans="1:2">
      <c r="A453" s="15"/>
      <c r="B453" s="15"/>
    </row>
    <row r="454" spans="1:2">
      <c r="A454" s="15">
        <v>-111.8828</v>
      </c>
      <c r="B454" s="15">
        <v>46.641300000000001</v>
      </c>
    </row>
    <row r="455" spans="1:2">
      <c r="A455" s="15">
        <v>-106.88079999999999</v>
      </c>
      <c r="B455" s="15">
        <v>42.174199999999999</v>
      </c>
    </row>
    <row r="456" spans="1:2">
      <c r="A456" s="18"/>
      <c r="B456" s="18"/>
    </row>
    <row r="457" spans="1:2">
      <c r="A457" s="15">
        <v>-101.55249999999999</v>
      </c>
      <c r="B457" s="15">
        <v>35.714199999999998</v>
      </c>
    </row>
    <row r="458" spans="1:2">
      <c r="A458" s="15"/>
      <c r="B458" s="15"/>
    </row>
    <row r="459" spans="1:2">
      <c r="A459" s="15"/>
      <c r="B459" s="15"/>
    </row>
    <row r="460" spans="1:2">
      <c r="A460" s="15">
        <v>-97.027799999999999</v>
      </c>
      <c r="B460" s="15">
        <v>34.433100000000003</v>
      </c>
    </row>
    <row r="461" spans="1:2">
      <c r="A461" s="15"/>
      <c r="B461" s="15"/>
    </row>
    <row r="462" spans="1:2">
      <c r="A462" s="15"/>
      <c r="B462" s="15"/>
    </row>
    <row r="463" spans="1:2">
      <c r="A463" s="15">
        <v>-120.1386</v>
      </c>
      <c r="B463" s="15">
        <v>39.378900000000002</v>
      </c>
    </row>
    <row r="464" spans="1:2">
      <c r="A464" s="15"/>
      <c r="B464" s="15"/>
    </row>
    <row r="465" spans="1:2">
      <c r="A465" s="15"/>
      <c r="B465" s="15"/>
    </row>
    <row r="466" spans="1:2">
      <c r="A466" s="15"/>
      <c r="B466" s="15"/>
    </row>
    <row r="467" spans="1:2">
      <c r="A467" s="15"/>
      <c r="B467" s="15"/>
    </row>
    <row r="468" spans="1:2">
      <c r="A468" s="15"/>
      <c r="B468" s="15"/>
    </row>
    <row r="469" spans="1:2">
      <c r="A469" s="15"/>
      <c r="B469" s="15"/>
    </row>
    <row r="470" spans="1:2">
      <c r="A470" s="15"/>
      <c r="B470" s="15"/>
    </row>
    <row r="471" spans="1:2">
      <c r="A471" s="15"/>
      <c r="B471" s="15"/>
    </row>
    <row r="472" spans="1:2">
      <c r="A472" s="15"/>
      <c r="B472" s="15"/>
    </row>
    <row r="473" spans="1:2">
      <c r="A473" s="15"/>
      <c r="B473" s="15"/>
    </row>
    <row r="474" spans="1:2">
      <c r="A474" s="15"/>
      <c r="B474" s="15"/>
    </row>
    <row r="475" spans="1:2">
      <c r="A475" s="15"/>
      <c r="B475" s="15"/>
    </row>
    <row r="476" spans="1:2">
      <c r="A476" s="15"/>
      <c r="B476" s="15"/>
    </row>
    <row r="477" spans="1:2">
      <c r="A477" s="15"/>
      <c r="B477" s="15"/>
    </row>
    <row r="478" spans="1:2">
      <c r="A478" s="15"/>
      <c r="B478" s="15"/>
    </row>
    <row r="479" spans="1:2">
      <c r="A479" s="15"/>
      <c r="B479" s="15"/>
    </row>
    <row r="480" spans="1:2">
      <c r="A480" s="15"/>
      <c r="B480" s="15"/>
    </row>
    <row r="481" spans="1:2">
      <c r="A481" s="15"/>
      <c r="B481" s="15"/>
    </row>
    <row r="482" spans="1:2">
      <c r="A482" s="15"/>
      <c r="B482" s="15"/>
    </row>
    <row r="483" spans="1:2">
      <c r="A483" s="15"/>
      <c r="B483" s="15"/>
    </row>
    <row r="484" spans="1:2">
      <c r="A484" s="15"/>
      <c r="B484" s="15"/>
    </row>
    <row r="485" spans="1:2">
      <c r="A485" s="15"/>
      <c r="B485" s="15"/>
    </row>
    <row r="486" spans="1:2">
      <c r="A486" s="15"/>
      <c r="B486" s="15"/>
    </row>
    <row r="487" spans="1:2">
      <c r="A487" s="15">
        <v>-107.7595</v>
      </c>
      <c r="B487" s="15">
        <v>39.627899999999997</v>
      </c>
    </row>
    <row r="488" spans="1:2">
      <c r="A488" s="15"/>
      <c r="B488" s="15"/>
    </row>
    <row r="489" spans="1:2">
      <c r="A489" s="15"/>
      <c r="B489" s="15"/>
    </row>
    <row r="490" spans="1:2">
      <c r="A490" s="18"/>
      <c r="B490" s="18"/>
    </row>
    <row r="491" spans="1:2">
      <c r="A491" s="15">
        <v>-120.1039</v>
      </c>
      <c r="B491" s="15">
        <v>39.475099999999998</v>
      </c>
    </row>
    <row r="492" spans="1:2">
      <c r="A492" s="15">
        <v>-120.14400000000001</v>
      </c>
      <c r="B492" s="15">
        <v>39.167099999999998</v>
      </c>
    </row>
    <row r="493" spans="1:2">
      <c r="A493" s="15">
        <v>-100.5284</v>
      </c>
      <c r="B493" s="15">
        <v>31.365600000000001</v>
      </c>
    </row>
    <row r="494" spans="1:2">
      <c r="A494" s="15"/>
      <c r="B494" s="15"/>
    </row>
    <row r="495" spans="1:2">
      <c r="A495" s="15">
        <v>-121.8019</v>
      </c>
      <c r="B495" s="15">
        <v>42.233899999999998</v>
      </c>
    </row>
    <row r="496" spans="1:2">
      <c r="A496" s="15">
        <v>-107.8108</v>
      </c>
      <c r="B496" s="15">
        <v>39.224299999999999</v>
      </c>
    </row>
    <row r="497" spans="1:2">
      <c r="A497" s="15"/>
      <c r="B497" s="15"/>
    </row>
    <row r="498" spans="1:2">
      <c r="A498" s="15"/>
      <c r="B498" s="15"/>
    </row>
    <row r="499" spans="1:2">
      <c r="A499" s="15"/>
      <c r="B499" s="15"/>
    </row>
    <row r="500" spans="1:2">
      <c r="A500" s="18"/>
      <c r="B500" s="18"/>
    </row>
    <row r="501" spans="1:2">
      <c r="A501" s="15"/>
      <c r="B501" s="15"/>
    </row>
    <row r="502" spans="1:2">
      <c r="A502" s="15"/>
      <c r="B502" s="15"/>
    </row>
    <row r="503" spans="1:2">
      <c r="A503" s="18"/>
      <c r="B503" s="18"/>
    </row>
    <row r="504" spans="1:2">
      <c r="A504" s="18"/>
      <c r="B504"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E5DA-EA68-46FB-8D79-A7D0EA62D6F6}">
  <dimension ref="A1:B7"/>
  <sheetViews>
    <sheetView workbookViewId="0">
      <selection activeCell="B7" sqref="B7"/>
    </sheetView>
  </sheetViews>
  <sheetFormatPr defaultColWidth="8.85546875" defaultRowHeight="15"/>
  <cols>
    <col min="1" max="1" width="16.42578125" customWidth="1"/>
    <col min="2" max="2" width="25.7109375" customWidth="1"/>
  </cols>
  <sheetData>
    <row r="1" spans="1:2" ht="32.1">
      <c r="A1" s="9" t="s">
        <v>2247</v>
      </c>
      <c r="B1" s="2" t="s">
        <v>2248</v>
      </c>
    </row>
    <row r="3" spans="1:2">
      <c r="A3" t="s">
        <v>160</v>
      </c>
      <c r="B3" t="s">
        <v>2249</v>
      </c>
    </row>
    <row r="4" spans="1:2">
      <c r="A4" t="s">
        <v>81</v>
      </c>
      <c r="B4" t="s">
        <v>2250</v>
      </c>
    </row>
    <row r="5" spans="1:2">
      <c r="A5" t="s">
        <v>180</v>
      </c>
      <c r="B5" t="s">
        <v>2251</v>
      </c>
    </row>
    <row r="6" spans="1:2">
      <c r="A6" t="s">
        <v>92</v>
      </c>
      <c r="B6" t="s">
        <v>2252</v>
      </c>
    </row>
    <row r="7" spans="1:2">
      <c r="A7" t="s">
        <v>102</v>
      </c>
    </row>
  </sheetData>
  <sortState xmlns:xlrd2="http://schemas.microsoft.com/office/spreadsheetml/2017/richdata2" ref="A2:A6">
    <sortCondition ref="A2:A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9AE460B77E94468E2E1FD007959C37" ma:contentTypeVersion="14" ma:contentTypeDescription="Create a new document." ma:contentTypeScope="" ma:versionID="a46bf208c98d1070676d9f53b25f5ebb">
  <xsd:schema xmlns:xsd="http://www.w3.org/2001/XMLSchema" xmlns:xs="http://www.w3.org/2001/XMLSchema" xmlns:p="http://schemas.microsoft.com/office/2006/metadata/properties" xmlns:ns2="57a001f1-7046-4e3f-ae61-fbf0092068ac" xmlns:ns3="021d0a85-ebda-415a-8971-d7ac96242d5e" targetNamespace="http://schemas.microsoft.com/office/2006/metadata/properties" ma:root="true" ma:fieldsID="5434a6c39788af9e4baadf805f38a24f" ns2:_="" ns3:_="">
    <xsd:import namespace="57a001f1-7046-4e3f-ae61-fbf0092068ac"/>
    <xsd:import namespace="021d0a85-ebda-415a-8971-d7ac96242d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a001f1-7046-4e3f-ae61-fbf0092068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1d0a85-ebda-415a-8971-d7ac96242d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38480fb-9c99-47e5-98a5-84bc21c191a1}" ma:internalName="TaxCatchAll" ma:showField="CatchAllData" ma:web="021d0a85-ebda-415a-8971-d7ac96242d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021d0a85-ebda-415a-8971-d7ac96242d5e">
      <UserInfo>
        <DisplayName/>
        <AccountId xsi:nil="true"/>
        <AccountType/>
      </UserInfo>
    </SharedWithUsers>
    <lcf76f155ced4ddcb4097134ff3c332f xmlns="57a001f1-7046-4e3f-ae61-fbf0092068ac">
      <Terms xmlns="http://schemas.microsoft.com/office/infopath/2007/PartnerControls"/>
    </lcf76f155ced4ddcb4097134ff3c332f>
    <TaxCatchAll xmlns="021d0a85-ebda-415a-8971-d7ac96242d5e" xsi:nil="true"/>
  </documentManagement>
</p:properties>
</file>

<file path=customXml/itemProps1.xml><?xml version="1.0" encoding="utf-8"?>
<ds:datastoreItem xmlns:ds="http://schemas.openxmlformats.org/officeDocument/2006/customXml" ds:itemID="{79A13B72-9194-4812-89E7-019F7B0F7D48}"/>
</file>

<file path=customXml/itemProps2.xml><?xml version="1.0" encoding="utf-8"?>
<ds:datastoreItem xmlns:ds="http://schemas.openxmlformats.org/officeDocument/2006/customXml" ds:itemID="{D0FB6F06-9389-43C7-AF45-7402F1CF22A4}"/>
</file>

<file path=customXml/itemProps3.xml><?xml version="1.0" encoding="utf-8"?>
<ds:datastoreItem xmlns:ds="http://schemas.openxmlformats.org/officeDocument/2006/customXml" ds:itemID="{1F6F959C-8B20-413E-99FE-2E12A519CF05}"/>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Odell, Allison G</dc:creator>
  <cp:keywords/>
  <dc:description/>
  <cp:lastModifiedBy/>
  <cp:revision/>
  <dcterms:created xsi:type="dcterms:W3CDTF">2026-01-09T18:56:46Z</dcterms:created>
  <dcterms:modified xsi:type="dcterms:W3CDTF">2026-05-22T20:03:09Z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0x010100C89AE460B77E94468E2E1FD007959C37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